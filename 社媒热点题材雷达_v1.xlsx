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dashboard" sheetId="1" state="visible" r:id="rId1"/>
    <sheet xmlns:r="http://schemas.openxmlformats.org/officeDocument/2006/relationships" name="raw_signals" sheetId="2" state="visible" r:id="rId2"/>
    <sheet xmlns:r="http://schemas.openxmlformats.org/officeDocument/2006/relationships" name="topic_clusters" sheetId="3" state="visible" r:id="rId3"/>
    <sheet xmlns:r="http://schemas.openxmlformats.org/officeDocument/2006/relationships" name="drama_angle_map" sheetId="4" state="visible" r:id="rId4"/>
    <sheet xmlns:r="http://schemas.openxmlformats.org/officeDocument/2006/relationships" name="weekly_watchlist" sheetId="5" state="visible" r:id="rId5"/>
    <sheet xmlns:r="http://schemas.openxmlformats.org/officeDocument/2006/relationships" name="dictionary" sheetId="6" state="visible" r:id="rId6"/>
  </sheets>
  <definedNames/>
</workbook>
</file>

<file path=xl/styles.xml><?xml version="1.0" encoding="utf-8"?>
<styleSheet xmlns="http://schemas.openxmlformats.org/spreadsheetml/2006/main">
  <numFmts count="1">
    <numFmt numFmtId="164" formatCode="yyyy-mm-dd"/>
  </numFmts>
  <fonts count="9">
    <font>
      <name val="Carlito"/>
      <sz val="11"/>
    </font>
    <font>
      <name val="Carlito"/>
      <b val="1"/>
      <color rgb="FF17324D"/>
      <sz val="18"/>
    </font>
    <font>
      <name val="Carlito"/>
      <color rgb="FF4B5563"/>
      <sz val="10"/>
    </font>
    <font>
      <name val="Carlito"/>
      <b val="1"/>
      <color rgb="FFFFFFFF"/>
      <sz val="11"/>
    </font>
    <font>
      <name val="Calibri"/>
      <color rgb="FF1F2937"/>
      <sz val="10"/>
    </font>
    <font>
      <name val="Calibri"/>
      <b val="1"/>
      <color rgb="FF17324D"/>
      <sz val="18"/>
    </font>
    <font>
      <name val="Calibri"/>
      <sz val="11"/>
    </font>
    <font>
      <name val="Calibri"/>
      <color rgb="FF4B5563"/>
      <sz val="10"/>
    </font>
    <font>
      <name val="Calibri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1F4E5F"/>
      </patternFill>
    </fill>
  </fills>
  <borders count="13">
    <border/>
    <border>
      <left style="thin">
        <color rgb="FFD1D5DB"/>
      </left>
      <top style="thin">
        <color rgb="FFD1D5DB"/>
      </top>
      <bottom style="thin">
        <color rgb="FFD1D5DB"/>
      </bottom>
    </border>
    <border>
      <top style="thin">
        <color rgb="FFD1D5DB"/>
      </top>
      <bottom style="thin">
        <color rgb="FFD1D5DB"/>
      </bottom>
    </border>
    <border>
      <right style="thin">
        <color rgb="FFD1D5DB"/>
      </right>
      <top style="thin">
        <color rgb="FFD1D5DB"/>
      </top>
      <bottom style="thin">
        <color rgb="FFD1D5DB"/>
      </bottom>
    </border>
    <border>
      <right style="thin">
        <color rgb="FFE5E7EB"/>
      </right>
      <bottom style="thin">
        <color rgb="FFE5E7EB"/>
      </bottom>
    </border>
    <border>
      <left style="thin">
        <color rgb="FFE5E7EB"/>
      </left>
      <right style="thin">
        <color rgb="FFE5E7EB"/>
      </right>
      <bottom style="thin">
        <color rgb="FFE5E7EB"/>
      </bottom>
    </border>
    <border>
      <left style="thin">
        <color rgb="FFE5E7EB"/>
      </left>
      <bottom style="thin">
        <color rgb="FFE5E7EB"/>
      </bottom>
    </border>
    <border>
      <right style="thin">
        <color rgb="FFE5E7EB"/>
      </right>
      <top style="thin">
        <color rgb="FFE5E7EB"/>
      </top>
      <bottom style="thin">
        <color rgb="FFE5E7EB"/>
      </bottom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</border>
    <border>
      <left style="thin">
        <color rgb="FFE5E7EB"/>
      </left>
      <top style="thin">
        <color rgb="FFE5E7EB"/>
      </top>
      <bottom style="thin">
        <color rgb="FFE5E7EB"/>
      </bottom>
    </border>
    <border>
      <right style="thin">
        <color rgb="FFE5E7EB"/>
      </right>
      <top style="thin">
        <color rgb="FFE5E7EB"/>
      </top>
    </border>
    <border>
      <left style="thin">
        <color rgb="FFE5E7EB"/>
      </left>
      <right style="thin">
        <color rgb="FFE5E7EB"/>
      </right>
      <top style="thin">
        <color rgb="FFE5E7EB"/>
      </top>
    </border>
    <border>
      <left style="thin">
        <color rgb="FFE5E7EB"/>
      </left>
      <top style="thin">
        <color rgb="FFE5E7EB"/>
      </top>
    </border>
  </borders>
  <cellStyleXfs count="1">
    <xf numFmtId="0" fontId="0" fillId="0" borderId="0"/>
  </cellStyleXfs>
  <cellXfs count="66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2" fillId="0" borderId="0" applyAlignment="1" pivotButton="0" quotePrefix="0" xfId="0">
      <alignment wrapText="1"/>
    </xf>
    <xf numFmtId="0" fontId="0" fillId="2" borderId="0" pivotButton="0" quotePrefix="0" xfId="0"/>
    <xf numFmtId="0" fontId="3" fillId="2" borderId="0" pivotButton="0" quotePrefix="0" xfId="0"/>
    <xf numFmtId="0" fontId="3" fillId="2" borderId="1" pivotButton="0" quotePrefix="0" xfId="0"/>
    <xf numFmtId="0" fontId="3" fillId="2" borderId="2" pivotButton="0" quotePrefix="0" xfId="0"/>
    <xf numFmtId="0" fontId="3" fillId="2" borderId="3" pivotButton="0" quotePrefix="0" xfId="0"/>
    <xf numFmtId="0" fontId="3" fillId="2" borderId="1" applyAlignment="1" pivotButton="0" quotePrefix="0" xfId="0">
      <alignment wrapText="1"/>
    </xf>
    <xf numFmtId="0" fontId="3" fillId="2" borderId="2" applyAlignment="1" pivotButton="0" quotePrefix="0" xfId="0">
      <alignment wrapText="1"/>
    </xf>
    <xf numFmtId="0" fontId="3" fillId="2" borderId="3" applyAlignment="1" pivotButton="0" quotePrefix="0" xfId="0">
      <alignment wrapText="1"/>
    </xf>
    <xf numFmtId="0" fontId="3" fillId="2" borderId="1" applyAlignment="1" pivotButton="0" quotePrefix="0" xfId="0">
      <alignment horizontal="center" wrapText="1"/>
    </xf>
    <xf numFmtId="0" fontId="3" fillId="2" borderId="2" applyAlignment="1" pivotButton="0" quotePrefix="0" xfId="0">
      <alignment horizontal="center" wrapText="1"/>
    </xf>
    <xf numFmtId="0" fontId="3" fillId="2" borderId="3" applyAlignment="1" pivotButton="0" quotePrefix="0" xfId="0">
      <alignment horizontal="center" wrapText="1"/>
    </xf>
    <xf numFmtId="0" fontId="3" fillId="2" borderId="1" applyAlignment="1" pivotButton="0" quotePrefix="0" xfId="0">
      <alignment horizontal="center" vertical="center" wrapText="1"/>
    </xf>
    <xf numFmtId="0" fontId="3" fillId="2" borderId="2" applyAlignment="1" pivotButton="0" quotePrefix="0" xfId="0">
      <alignment horizontal="center" vertical="center" wrapText="1"/>
    </xf>
    <xf numFmtId="0" fontId="3" fillId="2" borderId="3" applyAlignment="1" pivotButton="0" quotePrefix="0" xfId="0">
      <alignment horizontal="center" vertical="center" wrapText="1"/>
    </xf>
    <xf numFmtId="0" fontId="4" fillId="0" borderId="0" pivotButton="0" quotePrefix="0" xfId="0"/>
    <xf numFmtId="0" fontId="4" fillId="0" borderId="4" pivotButton="0" quotePrefix="0" xfId="0"/>
    <xf numFmtId="0" fontId="4" fillId="0" borderId="5" pivotButton="0" quotePrefix="0" xfId="0"/>
    <xf numFmtId="0" fontId="4" fillId="0" borderId="6" pivotButton="0" quotePrefix="0" xfId="0"/>
    <xf numFmtId="0" fontId="4" fillId="0" borderId="7" pivotButton="0" quotePrefix="0" xfId="0"/>
    <xf numFmtId="0" fontId="4" fillId="0" borderId="8" pivotButton="0" quotePrefix="0" xfId="0"/>
    <xf numFmtId="0" fontId="4" fillId="0" borderId="9" pivotButton="0" quotePrefix="0" xfId="0"/>
    <xf numFmtId="0" fontId="4" fillId="0" borderId="10" pivotButton="0" quotePrefix="0" xfId="0"/>
    <xf numFmtId="0" fontId="4" fillId="0" borderId="11" pivotButton="0" quotePrefix="0" xfId="0"/>
    <xf numFmtId="0" fontId="4" fillId="0" borderId="12" pivotButton="0" quotePrefix="0" xfId="0"/>
    <xf numFmtId="0" fontId="4" fillId="0" borderId="4" applyAlignment="1" pivotButton="0" quotePrefix="0" xfId="0">
      <alignment wrapText="1"/>
    </xf>
    <xf numFmtId="0" fontId="4" fillId="0" borderId="5" applyAlignment="1" pivotButton="0" quotePrefix="0" xfId="0">
      <alignment wrapText="1"/>
    </xf>
    <xf numFmtId="0" fontId="4" fillId="0" borderId="6" applyAlignment="1" pivotButton="0" quotePrefix="0" xfId="0">
      <alignment wrapText="1"/>
    </xf>
    <xf numFmtId="0" fontId="4" fillId="0" borderId="7" applyAlignment="1" pivotButton="0" quotePrefix="0" xfId="0">
      <alignment wrapText="1"/>
    </xf>
    <xf numFmtId="0" fontId="4" fillId="0" borderId="8" applyAlignment="1" pivotButton="0" quotePrefix="0" xfId="0">
      <alignment wrapText="1"/>
    </xf>
    <xf numFmtId="0" fontId="4" fillId="0" borderId="9" applyAlignment="1" pivotButton="0" quotePrefix="0" xfId="0">
      <alignment wrapText="1"/>
    </xf>
    <xf numFmtId="0" fontId="4" fillId="0" borderId="10" applyAlignment="1" pivotButton="0" quotePrefix="0" xfId="0">
      <alignment wrapText="1"/>
    </xf>
    <xf numFmtId="0" fontId="4" fillId="0" borderId="11" applyAlignment="1" pivotButton="0" quotePrefix="0" xfId="0">
      <alignment wrapText="1"/>
    </xf>
    <xf numFmtId="0" fontId="4" fillId="0" borderId="12" applyAlignment="1" pivotButton="0" quotePrefix="0" xfId="0">
      <alignment wrapText="1"/>
    </xf>
    <xf numFmtId="0" fontId="4" fillId="0" borderId="4" applyAlignment="1" pivotButton="0" quotePrefix="0" xfId="0">
      <alignment vertical="top" wrapText="1"/>
    </xf>
    <xf numFmtId="0" fontId="4" fillId="0" borderId="5" applyAlignment="1" pivotButton="0" quotePrefix="0" xfId="0">
      <alignment vertical="top" wrapText="1"/>
    </xf>
    <xf numFmtId="0" fontId="4" fillId="0" borderId="6" applyAlignment="1" pivotButton="0" quotePrefix="0" xfId="0">
      <alignment vertical="top" wrapText="1"/>
    </xf>
    <xf numFmtId="0" fontId="4" fillId="0" borderId="7" applyAlignment="1" pivotButton="0" quotePrefix="0" xfId="0">
      <alignment vertical="top" wrapText="1"/>
    </xf>
    <xf numFmtId="0" fontId="4" fillId="0" borderId="8" applyAlignment="1" pivotButton="0" quotePrefix="0" xfId="0">
      <alignment vertical="top" wrapText="1"/>
    </xf>
    <xf numFmtId="0" fontId="4" fillId="0" borderId="9" applyAlignment="1" pivotButton="0" quotePrefix="0" xfId="0">
      <alignment vertical="top" wrapText="1"/>
    </xf>
    <xf numFmtId="0" fontId="4" fillId="0" borderId="10" applyAlignment="1" pivotButton="0" quotePrefix="0" xfId="0">
      <alignment vertical="top" wrapText="1"/>
    </xf>
    <xf numFmtId="0" fontId="4" fillId="0" borderId="11" applyAlignment="1" pivotButton="0" quotePrefix="0" xfId="0">
      <alignment vertical="top" wrapText="1"/>
    </xf>
    <xf numFmtId="0" fontId="4" fillId="0" borderId="12" applyAlignment="1" pivotButton="0" quotePrefix="0" xfId="0">
      <alignment vertical="top" wrapText="1"/>
    </xf>
    <xf numFmtId="164" fontId="4" fillId="0" borderId="4" applyAlignment="1" pivotButton="0" quotePrefix="0" xfId="0">
      <alignment vertical="top" wrapText="1"/>
    </xf>
    <xf numFmtId="164" fontId="4" fillId="0" borderId="7" applyAlignment="1" pivotButton="0" quotePrefix="0" xfId="0">
      <alignment vertical="top" wrapText="1"/>
    </xf>
    <xf numFmtId="164" fontId="4" fillId="0" borderId="10" applyAlignment="1" pivotButton="0" quotePrefix="0" xfId="0">
      <alignment vertical="top" wrapText="1"/>
    </xf>
    <xf numFmtId="164" fontId="4" fillId="0" borderId="5" applyAlignment="1" pivotButton="0" quotePrefix="0" xfId="0">
      <alignment vertical="top" wrapText="1"/>
    </xf>
    <xf numFmtId="164" fontId="4" fillId="0" borderId="8" applyAlignment="1" pivotButton="0" quotePrefix="0" xfId="0">
      <alignment vertical="top" wrapText="1"/>
    </xf>
    <xf numFmtId="164" fontId="4" fillId="0" borderId="11" applyAlignment="1" pivotButton="0" quotePrefix="0" xfId="0">
      <alignment vertical="top" wrapText="1"/>
    </xf>
    <xf numFmtId="0" fontId="5" fillId="0" borderId="0" applyAlignment="1" pivotButton="0" quotePrefix="0" xfId="0">
      <alignment vertical="center"/>
    </xf>
    <xf numFmtId="0" fontId="6" fillId="0" borderId="0" pivotButton="0" quotePrefix="0" xfId="0"/>
    <xf numFmtId="0" fontId="7" fillId="0" borderId="0" applyAlignment="1" pivotButton="0" quotePrefix="0" xfId="0">
      <alignment wrapText="1"/>
    </xf>
    <xf numFmtId="0" fontId="8" fillId="2" borderId="1" applyAlignment="1" pivotButton="0" quotePrefix="0" xfId="0">
      <alignment horizontal="center" vertical="center" wrapText="1"/>
    </xf>
    <xf numFmtId="0" fontId="8" fillId="2" borderId="2" applyAlignment="1" pivotButton="0" quotePrefix="0" xfId="0">
      <alignment horizontal="center" vertical="center" wrapText="1"/>
    </xf>
    <xf numFmtId="0" fontId="8" fillId="2" borderId="3" applyAlignment="1" pivotButton="0" quotePrefix="0" xfId="0">
      <alignment horizontal="center" vertical="center" wrapText="1"/>
    </xf>
    <xf numFmtId="164" fontId="4" fillId="0" borderId="4" applyAlignment="1" pivotButton="0" quotePrefix="0" xfId="0">
      <alignment vertical="top" wrapText="1"/>
    </xf>
    <xf numFmtId="164" fontId="4" fillId="0" borderId="5" applyAlignment="1" pivotButton="0" quotePrefix="0" xfId="0">
      <alignment vertical="top" wrapText="1"/>
    </xf>
    <xf numFmtId="164" fontId="4" fillId="0" borderId="7" applyAlignment="1" pivotButton="0" quotePrefix="0" xfId="0">
      <alignment vertical="top" wrapText="1"/>
    </xf>
    <xf numFmtId="164" fontId="4" fillId="0" borderId="8" applyAlignment="1" pivotButton="0" quotePrefix="0" xfId="0">
      <alignment vertical="top" wrapText="1"/>
    </xf>
    <xf numFmtId="164" fontId="4" fillId="0" borderId="10" applyAlignment="1" pivotButton="0" quotePrefix="0" xfId="0">
      <alignment vertical="top" wrapText="1"/>
    </xf>
    <xf numFmtId="164" fontId="4" fillId="0" borderId="11" applyAlignment="1" pivotButton="0" quotePrefix="0" xfId="0">
      <alignment vertical="top" wrapText="1"/>
    </xf>
    <xf numFmtId="164" fontId="0" fillId="0" borderId="0" pivotButton="0" quotePrefix="0" xfId="0"/>
  </cellXfs>
  <cellStyles count="1">
    <cellStyle name="Normal" xfId="0"/>
  </cellStyles>
  <dxfs count="2">
    <dxf>
      <font>
        <b val="1"/>
        <color rgb="FF166534"/>
      </font>
      <fill>
        <patternFill patternType="solid">
          <bgColor rgb="FFDCFCE7"/>
        </patternFill>
      </fill>
    </dxf>
    <dxf>
      <font>
        <b val="1"/>
        <color rgb="FF991B1B"/>
      </font>
      <fill>
        <patternFill patternType="solid">
          <bgColor rgb="FFFEE2E2"/>
        </patternFill>
      </fill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题材机会评分权重</a:t>
            </a:r>
          </a:p>
        </rich>
      </tx>
      <overlay val="0"/>
    </title>
    <plotArea>
      <layout/>
      <barChart>
        <barDir val="col"/>
        <grouping val="clustered"/>
        <varyColors val="0"/>
        <ser>
          <idx val="0"/>
          <order val="0"/>
          <tx>
            <v>权重</v>
          </tx>
          <spPr>
            <a:ln xmlns:a="http://schemas.openxmlformats.org/drawingml/2006/main">
              <a:prstDash val="solid"/>
            </a:ln>
          </spPr>
          <cat>
            <strLit>
              <ptCount val="5"/>
              <pt idx="0">
                <v>热度</v>
              </pt>
              <pt idx="1">
                <v>情绪</v>
              </pt>
              <pt idx="2">
                <v>短剧化</v>
              </pt>
              <pt idx="3">
                <v>供给缺口</v>
              </pt>
              <pt idx="4">
                <v>风险扣分</v>
              </pt>
            </strLit>
          </cat>
          <val>
            <numLit>
              <formatCode>General</formatCode>
              <ptCount val="5"/>
              <pt idx="0">
                <v>35</v>
              </pt>
              <pt idx="1">
                <v>25</v>
              </pt>
              <pt idx="2">
                <v>20</v>
              </pt>
              <pt idx="3">
                <v>10</v>
              </pt>
              <pt idx="4">
                <v>10</v>
              </pt>
            </numLit>
          </val>
        </ser>
        <dLbls>
          <showLegendKey val="0"/>
          <showVal val="1"/>
          <showCatName val="0"/>
          <showSerName val="0"/>
          <showPercent val="0"/>
          <showBubbleSize val="0"/>
          <showLeaderLines val="0"/>
        </dLbls>
        <gapWidth val="80"/>
        <axId val="48650112"/>
        <axId val="48672768"/>
      </barChart>
      <catAx>
        <axId val="48650112"/>
        <scaling>
          <orientation val="minMax"/>
        </scaling>
        <delete val="0"/>
        <axPos val="b"/>
        <majorGridlines>
          <spPr>
            <a:ln xmlns:a="http://schemas.openxmlformats.org/drawingml/2006/main" w="9525">
              <a:solidFill>
                <a:srgbClr val="CCCCCC"/>
              </a:solidFill>
              <a:prstDash val="dash"/>
            </a:ln>
          </spPr>
        </majorGridlines>
        <numFmt formatCode="General" sourceLinked="0"/>
        <majorTickMark val="none"/>
        <minorTickMark val="none"/>
        <tickLblPos val="nextTo"/>
        <crossAx val="48672768"/>
        <crosses val="autoZero"/>
        <lblAlgn val="ctr"/>
        <lblOffset val="100"/>
        <noMultiLvlLbl val="0"/>
      </catAx>
      <valAx>
        <axId val="48672768"/>
        <scaling>
          <orientation val="minMax"/>
        </scaling>
        <delete val="0"/>
        <axPos val="l"/>
        <majorGridlines>
          <spPr>
            <a:ln xmlns:a="http://schemas.openxmlformats.org/drawingml/2006/main" w="9525">
              <a:solidFill>
                <a:srgbClr val="CCCCCC"/>
              </a:solidFill>
              <a:prstDash val="dash"/>
            </a:ln>
          </spPr>
        </majorGridlines>
        <numFmt formatCode="General" sourceLinked="0"/>
        <majorTickMark val="none"/>
        <minorTickMark val="none"/>
        <crossAx val="48650112"/>
        <crosses val="autoZero"/>
        <crossBetween val="between"/>
      </valAx>
    </plotArea>
    <plotVisOnly val="1"/>
    <dispBlanksAs val="gap"/>
  </chart>
  <spPr>
    <a:ln xmlns:a="http://schemas.openxmlformats.org/drawingml/2006/main" w="9525">
      <a:solidFill>
        <a:srgbClr val="D9D9D9"/>
      </a:solidFill>
      <a:prstDash val="solid"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3</row>
      <rowOff>0</rowOff>
    </from>
    <ext cx="4953000" cy="24765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20"/>
  <sheetViews>
    <sheetView workbookViewId="0">
      <selection activeCell="A1" sqref="A1"/>
    </sheetView>
  </sheetViews>
  <sheetFormatPr baseColWidth="8" defaultRowHeight="15"/>
  <cols>
    <col width="18.88999938964844" customWidth="1" min="1" max="1"/>
    <col width="14.4399995803833" customWidth="1" min="2" max="2"/>
    <col width="10" customWidth="1" min="3" max="3"/>
    <col width="17.78000068664551" customWidth="1" min="4" max="4"/>
    <col width="34.43999862670898" customWidth="1" min="5" max="5"/>
    <col width="10" customWidth="1" min="6" max="6"/>
    <col width="3.329999923706055" customWidth="1" min="7" max="7"/>
    <col width="13.32999992370605" customWidth="1" min="8" max="8"/>
    <col width="13.32999992370605" customWidth="1" min="9" max="9"/>
    <col width="13.32999992370605" customWidth="1" min="10" max="10"/>
    <col width="13.32999992370605" customWidth="1" min="11" max="11"/>
  </cols>
  <sheetData>
    <row r="1">
      <c r="A1" s="53" t="inlineStr">
        <is>
          <t>海外社媒热点短剧题材雷达</t>
        </is>
      </c>
      <c r="B1" s="54" t="n"/>
      <c r="C1" s="54" t="n"/>
      <c r="D1" s="54" t="n"/>
      <c r="E1" s="54" t="n"/>
      <c r="F1" s="54" t="n"/>
      <c r="G1" s="54" t="n"/>
      <c r="H1" s="54" t="n"/>
      <c r="I1" s="54" t="n"/>
      <c r="J1" s="54" t="n"/>
      <c r="K1" s="54" t="n"/>
      <c r="L1" s="54" t="n"/>
      <c r="M1" s="54" t="n"/>
      <c r="N1" s="54" t="n"/>
      <c r="O1" s="54" t="n"/>
      <c r="P1" s="54" t="n"/>
      <c r="Q1" s="54" t="n"/>
    </row>
    <row r="2">
      <c r="A2" s="55" t="inlineStr">
        <is>
          <t>第一阶段：英语市场（US/UK/CA/AU）+ 公开可抓数据 + 半自动周监测。评分用于选题优先级，不等同于立项结论。</t>
        </is>
      </c>
      <c r="B2" s="54" t="n"/>
      <c r="C2" s="54" t="n"/>
      <c r="D2" s="54" t="n"/>
      <c r="E2" s="54" t="n"/>
      <c r="F2" s="54" t="n"/>
      <c r="G2" s="54" t="n"/>
      <c r="H2" s="54" t="n"/>
      <c r="I2" s="54" t="n"/>
      <c r="J2" s="54" t="n"/>
      <c r="K2" s="54" t="n"/>
      <c r="L2" s="54" t="n"/>
      <c r="M2" s="54" t="n"/>
      <c r="N2" s="54" t="n"/>
      <c r="O2" s="54" t="n"/>
      <c r="P2" s="54" t="n"/>
      <c r="Q2" s="54" t="n"/>
    </row>
    <row r="3">
      <c r="A3" s="54" t="n"/>
      <c r="B3" s="54" t="n"/>
      <c r="C3" s="54" t="n"/>
      <c r="D3" s="54" t="n"/>
      <c r="E3" s="54" t="n"/>
      <c r="F3" s="54" t="n"/>
      <c r="G3" s="54" t="n"/>
      <c r="H3" s="54" t="n"/>
      <c r="I3" s="54" t="n"/>
      <c r="J3" s="54" t="n"/>
      <c r="K3" s="54" t="n"/>
      <c r="L3" s="54" t="n"/>
      <c r="M3" s="54" t="n"/>
      <c r="N3" s="54" t="n"/>
      <c r="O3" s="54" t="n"/>
      <c r="P3" s="54" t="n"/>
      <c r="Q3" s="54" t="n"/>
    </row>
    <row r="4">
      <c r="A4" s="56" t="inlineStr">
        <is>
          <t>模块</t>
        </is>
      </c>
      <c r="B4" s="57" t="inlineStr">
        <is>
          <t>口径</t>
        </is>
      </c>
      <c r="C4" s="58" t="inlineStr">
        <is>
          <t>当前值</t>
        </is>
      </c>
      <c r="D4" s="54" t="n"/>
      <c r="E4" s="56" t="inlineStr">
        <is>
          <t>评分维度</t>
        </is>
      </c>
      <c r="F4" s="58" t="inlineStr">
        <is>
          <t>权重</t>
        </is>
      </c>
      <c r="G4" s="54" t="n"/>
      <c r="H4" s="54" t="n"/>
      <c r="I4" s="54" t="n"/>
      <c r="J4" s="54" t="n"/>
      <c r="K4" s="54" t="n"/>
      <c r="L4" s="54" t="n"/>
      <c r="M4" s="54" t="n"/>
      <c r="N4" s="54" t="n"/>
      <c r="O4" s="54" t="n"/>
      <c r="P4" s="54" t="n"/>
      <c r="Q4" s="54" t="n"/>
    </row>
    <row r="5">
      <c r="A5" s="38" t="inlineStr">
        <is>
          <t>覆盖市场</t>
        </is>
      </c>
      <c r="B5" s="39" t="inlineStr">
        <is>
          <t>默认国家/地区</t>
        </is>
      </c>
      <c r="C5" s="40" t="inlineStr">
        <is>
          <t>US, UK, CA, AU</t>
        </is>
      </c>
      <c r="D5" s="54" t="n"/>
      <c r="E5" s="38" t="inlineStr">
        <is>
          <t>热度</t>
        </is>
      </c>
      <c r="F5" s="40" t="n">
        <v>35</v>
      </c>
      <c r="G5" s="54" t="n"/>
      <c r="H5" s="54" t="n"/>
      <c r="I5" s="54" t="n"/>
      <c r="J5" s="54" t="n"/>
      <c r="K5" s="54" t="n"/>
      <c r="L5" s="54" t="n"/>
      <c r="M5" s="54" t="n"/>
      <c r="N5" s="54" t="n"/>
      <c r="O5" s="54" t="n"/>
      <c r="P5" s="54" t="n"/>
      <c r="Q5" s="54" t="n"/>
    </row>
    <row r="6">
      <c r="A6" s="41" t="inlineStr">
        <is>
          <t>数据边界</t>
        </is>
      </c>
      <c r="B6" s="42" t="inlineStr">
        <is>
          <t>公开趋势/搜索/帖子/视频，不采集登录态和私密内容</t>
        </is>
      </c>
      <c r="C6" s="43" t="inlineStr">
        <is>
          <t>Public only</t>
        </is>
      </c>
      <c r="D6" s="54" t="n"/>
      <c r="E6" s="41" t="inlineStr">
        <is>
          <t>情绪强度</t>
        </is>
      </c>
      <c r="F6" s="43" t="n">
        <v>25</v>
      </c>
      <c r="G6" s="54" t="n"/>
      <c r="H6" s="54" t="n"/>
      <c r="I6" s="54" t="n"/>
      <c r="J6" s="54" t="n"/>
      <c r="K6" s="54" t="n"/>
      <c r="L6" s="54" t="n"/>
      <c r="M6" s="54" t="n"/>
      <c r="N6" s="54" t="n"/>
      <c r="O6" s="54" t="n"/>
      <c r="P6" s="54" t="n"/>
      <c r="Q6" s="54" t="n"/>
    </row>
    <row r="7">
      <c r="A7" s="41" t="inlineStr">
        <is>
          <t>周监测节奏</t>
        </is>
      </c>
      <c r="B7" s="42" t="inlineStr">
        <is>
          <t>每周一回看过去 7 天</t>
        </is>
      </c>
      <c r="C7" s="43" t="inlineStr">
        <is>
          <t>Weekly</t>
        </is>
      </c>
      <c r="D7" s="54" t="n"/>
      <c r="E7" s="41" t="inlineStr">
        <is>
          <t>题材可短剧化</t>
        </is>
      </c>
      <c r="F7" s="43" t="n">
        <v>20</v>
      </c>
      <c r="G7" s="54" t="n"/>
      <c r="H7" s="54" t="n"/>
      <c r="I7" s="54" t="n"/>
      <c r="J7" s="54" t="n"/>
      <c r="K7" s="54" t="n"/>
      <c r="L7" s="54" t="n"/>
      <c r="M7" s="54" t="n"/>
      <c r="N7" s="54" t="n"/>
      <c r="O7" s="54" t="n"/>
      <c r="P7" s="54" t="n"/>
      <c r="Q7" s="54" t="n"/>
    </row>
    <row r="8">
      <c r="A8" s="41" t="inlineStr">
        <is>
          <t>候选输出</t>
        </is>
      </c>
      <c r="B8" s="42" t="inlineStr">
        <is>
          <t>3 个高优先级 + 4 个观察级 + 3 个风险苗头</t>
        </is>
      </c>
      <c r="C8" s="43" t="inlineStr">
        <is>
          <t>Top 10</t>
        </is>
      </c>
      <c r="D8" s="54" t="n"/>
      <c r="E8" s="41" t="inlineStr">
        <is>
          <t>供给缺口</t>
        </is>
      </c>
      <c r="F8" s="43" t="n">
        <v>10</v>
      </c>
      <c r="G8" s="54" t="n"/>
      <c r="H8" s="54" t="n"/>
      <c r="I8" s="54" t="n"/>
      <c r="J8" s="54" t="n"/>
      <c r="K8" s="54" t="n"/>
      <c r="L8" s="54" t="n"/>
      <c r="M8" s="54" t="n"/>
      <c r="N8" s="54" t="n"/>
      <c r="O8" s="54" t="n"/>
      <c r="P8" s="54" t="n"/>
      <c r="Q8" s="54" t="n"/>
    </row>
    <row r="9">
      <c r="A9" s="44" t="inlineStr">
        <is>
          <t>评分公式</t>
        </is>
      </c>
      <c r="B9" s="45" t="inlineStr">
        <is>
          <t>热度35 + 情绪25 + 可短剧化20 + 供给缺口10 - 风险10</t>
        </is>
      </c>
      <c r="C9" s="46" t="inlineStr">
        <is>
          <t>100 pts</t>
        </is>
      </c>
      <c r="D9" s="54" t="n"/>
      <c r="E9" s="44" t="inlineStr">
        <is>
          <t>合规/品牌风险扣分</t>
        </is>
      </c>
      <c r="F9" s="46" t="n">
        <v>10</v>
      </c>
      <c r="G9" s="54" t="n"/>
      <c r="H9" s="54" t="n"/>
      <c r="I9" s="54" t="n"/>
      <c r="J9" s="54" t="n"/>
      <c r="K9" s="54" t="n"/>
      <c r="L9" s="54" t="n"/>
      <c r="M9" s="54" t="n"/>
      <c r="N9" s="54" t="n"/>
      <c r="O9" s="54" t="n"/>
      <c r="P9" s="54" t="n"/>
      <c r="Q9" s="54" t="n"/>
    </row>
    <row r="10">
      <c r="A10" s="54" t="n"/>
      <c r="B10" s="54" t="n"/>
      <c r="C10" s="54" t="n"/>
      <c r="D10" s="54" t="n"/>
      <c r="E10" s="54" t="n"/>
      <c r="F10" s="54" t="n"/>
      <c r="G10" s="54" t="n"/>
      <c r="H10" s="54" t="n"/>
      <c r="I10" s="54" t="n"/>
      <c r="J10" s="54" t="n"/>
      <c r="K10" s="54" t="n"/>
      <c r="L10" s="54" t="n"/>
      <c r="M10" s="54" t="n"/>
      <c r="N10" s="54" t="n"/>
      <c r="O10" s="54" t="n"/>
      <c r="P10" s="54" t="n"/>
      <c r="Q10" s="54" t="n"/>
    </row>
    <row r="11">
      <c r="A11" s="54" t="n"/>
      <c r="B11" s="54" t="n"/>
      <c r="C11" s="54" t="n"/>
      <c r="D11" s="54" t="n"/>
      <c r="E11" s="54" t="n"/>
      <c r="F11" s="54" t="n"/>
      <c r="G11" s="54" t="n"/>
      <c r="H11" s="54" t="n"/>
      <c r="I11" s="54" t="n"/>
      <c r="J11" s="54" t="n"/>
      <c r="K11" s="54" t="n"/>
      <c r="L11" s="54" t="n"/>
      <c r="M11" s="54" t="n"/>
      <c r="N11" s="54" t="n"/>
      <c r="O11" s="54" t="n"/>
      <c r="P11" s="54" t="n"/>
      <c r="Q11" s="54" t="n"/>
    </row>
    <row r="12">
      <c r="A12" s="56" t="inlineStr">
        <is>
          <t>Top 候选题材</t>
        </is>
      </c>
      <c r="B12" s="57" t="inlineStr">
        <is>
          <t>优先级</t>
        </is>
      </c>
      <c r="C12" s="57" t="inlineStr">
        <is>
          <t>机会分</t>
        </is>
      </c>
      <c r="D12" s="57" t="inlineStr">
        <is>
          <t>建议动作</t>
        </is>
      </c>
      <c r="E12" s="58" t="inlineStr">
        <is>
          <t>核心理由</t>
        </is>
      </c>
      <c r="F12" s="54" t="n"/>
      <c r="G12" s="54" t="n"/>
      <c r="H12" s="54" t="n"/>
      <c r="I12" s="54" t="n"/>
      <c r="J12" s="54" t="n"/>
      <c r="K12" s="54" t="n"/>
      <c r="L12" s="54" t="n"/>
      <c r="M12" s="54" t="n"/>
      <c r="N12" s="54" t="n"/>
      <c r="O12" s="54" t="n"/>
      <c r="P12" s="54" t="n"/>
      <c r="Q12" s="54" t="n"/>
    </row>
    <row r="13">
      <c r="A13" s="38">
        <f>weekly_watchlist!$C$5</f>
        <v/>
      </c>
      <c r="B13" s="39">
        <f>weekly_watchlist!$D$5</f>
        <v/>
      </c>
      <c r="C13" s="39">
        <f>weekly_watchlist!$F$5</f>
        <v/>
      </c>
      <c r="D13" s="39">
        <f>weekly_watchlist!$J$5</f>
        <v/>
      </c>
      <c r="E13" s="40">
        <f>weekly_watchlist!$I$5</f>
        <v/>
      </c>
      <c r="F13" s="54" t="n"/>
      <c r="G13" s="54" t="n"/>
      <c r="H13" s="54" t="n"/>
      <c r="I13" s="54" t="n"/>
      <c r="J13" s="54" t="n"/>
      <c r="K13" s="54" t="n"/>
      <c r="L13" s="54" t="n"/>
      <c r="M13" s="54" t="n"/>
      <c r="N13" s="54" t="n"/>
      <c r="O13" s="54" t="n"/>
      <c r="P13" s="54" t="n"/>
      <c r="Q13" s="54" t="n"/>
    </row>
    <row r="14">
      <c r="A14" s="41">
        <f>weekly_watchlist!$C$6</f>
        <v/>
      </c>
      <c r="B14" s="42">
        <f>weekly_watchlist!$D$6</f>
        <v/>
      </c>
      <c r="C14" s="42">
        <f>weekly_watchlist!$F$6</f>
        <v/>
      </c>
      <c r="D14" s="42">
        <f>weekly_watchlist!$J$6</f>
        <v/>
      </c>
      <c r="E14" s="43">
        <f>weekly_watchlist!$I$6</f>
        <v/>
      </c>
      <c r="F14" s="54" t="n"/>
      <c r="G14" s="54" t="n"/>
      <c r="H14" s="54" t="n"/>
      <c r="I14" s="54" t="n"/>
      <c r="J14" s="54" t="n"/>
      <c r="K14" s="54" t="n"/>
      <c r="L14" s="54" t="n"/>
      <c r="M14" s="54" t="n"/>
      <c r="N14" s="54" t="n"/>
      <c r="O14" s="54" t="n"/>
      <c r="P14" s="54" t="n"/>
      <c r="Q14" s="54" t="n"/>
    </row>
    <row r="15">
      <c r="A15" s="41">
        <f>weekly_watchlist!$C$7</f>
        <v/>
      </c>
      <c r="B15" s="42">
        <f>weekly_watchlist!$D$7</f>
        <v/>
      </c>
      <c r="C15" s="42">
        <f>weekly_watchlist!$F$7</f>
        <v/>
      </c>
      <c r="D15" s="42">
        <f>weekly_watchlist!$J$7</f>
        <v/>
      </c>
      <c r="E15" s="43">
        <f>weekly_watchlist!$I$7</f>
        <v/>
      </c>
      <c r="F15" s="54" t="n"/>
      <c r="G15" s="54" t="n"/>
      <c r="H15" s="54" t="n"/>
      <c r="I15" s="54" t="n"/>
      <c r="J15" s="54" t="n"/>
      <c r="K15" s="54" t="n"/>
      <c r="L15" s="54" t="n"/>
      <c r="M15" s="54" t="n"/>
      <c r="N15" s="54" t="n"/>
      <c r="O15" s="54" t="n"/>
      <c r="P15" s="54" t="n"/>
      <c r="Q15" s="54" t="n"/>
    </row>
    <row r="16">
      <c r="A16" s="41">
        <f>weekly_watchlist!$C$8</f>
        <v/>
      </c>
      <c r="B16" s="42">
        <f>weekly_watchlist!$D$8</f>
        <v/>
      </c>
      <c r="C16" s="42">
        <f>weekly_watchlist!$F$8</f>
        <v/>
      </c>
      <c r="D16" s="42">
        <f>weekly_watchlist!$J$8</f>
        <v/>
      </c>
      <c r="E16" s="43">
        <f>weekly_watchlist!$I$8</f>
        <v/>
      </c>
      <c r="F16" s="54" t="n"/>
      <c r="G16" s="54" t="n"/>
      <c r="H16" s="54" t="n"/>
      <c r="I16" s="54" t="n"/>
      <c r="J16" s="54" t="n"/>
      <c r="K16" s="54" t="n"/>
      <c r="L16" s="54" t="n"/>
      <c r="M16" s="54" t="n"/>
      <c r="N16" s="54" t="n"/>
      <c r="O16" s="54" t="n"/>
      <c r="P16" s="54" t="n"/>
      <c r="Q16" s="54" t="n"/>
    </row>
    <row r="17">
      <c r="A17" s="44">
        <f>weekly_watchlist!$C$9</f>
        <v/>
      </c>
      <c r="B17" s="45">
        <f>weekly_watchlist!$D$9</f>
        <v/>
      </c>
      <c r="C17" s="45">
        <f>weekly_watchlist!$F$9</f>
        <v/>
      </c>
      <c r="D17" s="45">
        <f>weekly_watchlist!$J$9</f>
        <v/>
      </c>
      <c r="E17" s="46">
        <f>weekly_watchlist!$I$9</f>
        <v/>
      </c>
      <c r="F17" s="54" t="n"/>
      <c r="G17" s="54" t="n"/>
      <c r="H17" s="54" t="n"/>
      <c r="I17" s="54" t="n"/>
      <c r="J17" s="54" t="n"/>
      <c r="K17" s="54" t="n"/>
      <c r="L17" s="54" t="n"/>
      <c r="M17" s="54" t="n"/>
      <c r="N17" s="54" t="n"/>
      <c r="O17" s="54" t="n"/>
      <c r="P17" s="54" t="n"/>
      <c r="Q17" s="54" t="n"/>
    </row>
    <row r="18">
      <c r="A18" s="54" t="n"/>
      <c r="B18" s="54" t="n"/>
      <c r="C18" s="54" t="n"/>
      <c r="D18" s="54" t="n"/>
      <c r="E18" s="54" t="n"/>
      <c r="F18" s="54" t="n"/>
      <c r="G18" s="54" t="n"/>
      <c r="H18" s="54" t="n"/>
      <c r="I18" s="54" t="n"/>
      <c r="J18" s="54" t="n"/>
      <c r="K18" s="54" t="n"/>
      <c r="L18" s="54" t="n"/>
      <c r="M18" s="54" t="n"/>
      <c r="N18" s="54" t="n"/>
      <c r="O18" s="54" t="n"/>
      <c r="P18" s="54" t="n"/>
      <c r="Q18" s="54" t="n"/>
    </row>
    <row r="19">
      <c r="A19" s="54" t="n"/>
      <c r="B19" s="54" t="n"/>
      <c r="C19" s="54" t="n"/>
      <c r="D19" s="54" t="n"/>
      <c r="E19" s="54" t="n"/>
      <c r="F19" s="54" t="n"/>
      <c r="G19" s="54" t="n"/>
      <c r="H19" s="54" t="n"/>
      <c r="I19" s="54" t="n"/>
      <c r="J19" s="54" t="n"/>
      <c r="K19" s="54" t="n"/>
      <c r="L19" s="54" t="n"/>
      <c r="M19" s="54" t="n"/>
      <c r="N19" s="54" t="n"/>
      <c r="O19" s="54" t="n"/>
      <c r="P19" s="54" t="n"/>
      <c r="Q19" s="54" t="n"/>
    </row>
    <row r="20">
      <c r="A20" s="56" t="inlineStr">
        <is>
          <t>每周一执行清单</t>
        </is>
      </c>
      <c r="B20" s="58" t="inlineStr">
        <is>
          <t>说明</t>
        </is>
      </c>
      <c r="C20" s="54" t="n"/>
      <c r="D20" s="54" t="n"/>
      <c r="E20" s="54" t="n"/>
      <c r="F20" s="54" t="n"/>
      <c r="G20" s="54" t="n"/>
      <c r="H20" s="54" t="n"/>
      <c r="I20" s="54" t="n"/>
      <c r="J20" s="54" t="n"/>
      <c r="K20" s="54" t="n"/>
      <c r="L20" s="54" t="n"/>
      <c r="M20" s="54" t="n"/>
      <c r="N20" s="54" t="n"/>
      <c r="O20" s="54" t="n"/>
      <c r="P20" s="54" t="n"/>
      <c r="Q20" s="54" t="n"/>
    </row>
    <row r="21">
      <c r="A21" s="38" t="inlineStr">
        <is>
          <t>1. 抓取过去 7 天热点</t>
        </is>
      </c>
      <c r="B21" s="40" t="inlineStr">
        <is>
          <t>TikTok Creative Center、Google Trends、YouTube Trending/Charts、Reddit 公开热帖。</t>
        </is>
      </c>
      <c r="C21" s="54" t="n"/>
      <c r="D21" s="54" t="n"/>
      <c r="E21" s="54" t="n"/>
      <c r="F21" s="54" t="n"/>
      <c r="G21" s="54" t="n"/>
      <c r="H21" s="54" t="n"/>
      <c r="I21" s="54" t="n"/>
      <c r="J21" s="54" t="n"/>
      <c r="K21" s="54" t="n"/>
      <c r="L21" s="54" t="n"/>
      <c r="M21" s="54" t="n"/>
      <c r="N21" s="54" t="n"/>
      <c r="O21" s="54" t="n"/>
      <c r="P21" s="54" t="n"/>
      <c r="Q21" s="54" t="n"/>
    </row>
    <row r="22">
      <c r="A22" s="41" t="inlineStr">
        <is>
          <t>2. 填入 raw_signals</t>
        </is>
      </c>
      <c r="B22" s="43" t="inlineStr">
        <is>
          <t>保留公开链接、摘要、地区、互动/排名指标、情绪标签和证据等级。</t>
        </is>
      </c>
      <c r="C22" s="54" t="n"/>
      <c r="D22" s="54" t="n"/>
      <c r="E22" s="54" t="n"/>
      <c r="F22" s="54" t="n"/>
      <c r="G22" s="54" t="n"/>
      <c r="H22" s="54" t="n"/>
      <c r="I22" s="54" t="n"/>
      <c r="J22" s="54" t="n"/>
      <c r="K22" s="54" t="n"/>
      <c r="L22" s="54" t="n"/>
      <c r="M22" s="54" t="n"/>
      <c r="N22" s="54" t="n"/>
      <c r="O22" s="54" t="n"/>
      <c r="P22" s="54" t="n"/>
      <c r="Q22" s="54" t="n"/>
    </row>
    <row r="23">
      <c r="A23" s="41" t="inlineStr">
        <is>
          <t>3. 合并 topic_clusters</t>
        </is>
      </c>
      <c r="B23" s="43" t="inlineStr">
        <is>
          <t>把同一热点的不同关键词/平台信号归并成一个题材簇。</t>
        </is>
      </c>
      <c r="C23" s="54" t="n"/>
      <c r="D23" s="54" t="n"/>
      <c r="E23" s="54" t="n"/>
      <c r="F23" s="54" t="n"/>
      <c r="G23" s="54" t="n"/>
      <c r="H23" s="54" t="n"/>
      <c r="I23" s="54" t="n"/>
      <c r="J23" s="54" t="n"/>
      <c r="K23" s="54" t="n"/>
      <c r="L23" s="54" t="n"/>
      <c r="M23" s="54" t="n"/>
      <c r="N23" s="54" t="n"/>
      <c r="O23" s="54" t="n"/>
      <c r="P23" s="54" t="n"/>
      <c r="Q23" s="54" t="n"/>
    </row>
    <row r="24">
      <c r="A24" s="41" t="inlineStr">
        <is>
          <t>4. 映射 drama_angle_map</t>
        </is>
      </c>
      <c r="B24" s="43" t="inlineStr">
        <is>
          <t>用短剧题材、可能 logline、制作适配和风险说明判断可转化性。</t>
        </is>
      </c>
      <c r="C24" s="54" t="n"/>
      <c r="D24" s="54" t="n"/>
      <c r="E24" s="54" t="n"/>
      <c r="F24" s="54" t="n"/>
      <c r="G24" s="54" t="n"/>
      <c r="H24" s="54" t="n"/>
      <c r="I24" s="54" t="n"/>
      <c r="J24" s="54" t="n"/>
      <c r="K24" s="54" t="n"/>
      <c r="L24" s="54" t="n"/>
      <c r="M24" s="54" t="n"/>
      <c r="N24" s="54" t="n"/>
      <c r="O24" s="54" t="n"/>
      <c r="P24" s="54" t="n"/>
      <c r="Q24" s="54" t="n"/>
    </row>
    <row r="25">
      <c r="A25" s="44" t="inlineStr">
        <is>
          <t>5. 更新 weekly_watchlist</t>
        </is>
      </c>
      <c r="B25" s="46" t="inlineStr">
        <is>
          <t>输出 10 个候选：高优先级、观察级、风险苗头。</t>
        </is>
      </c>
      <c r="C25" s="54" t="n"/>
      <c r="D25" s="54" t="n"/>
      <c r="E25" s="54" t="n"/>
      <c r="F25" s="54" t="n"/>
      <c r="G25" s="54" t="n"/>
      <c r="H25" s="54" t="n"/>
      <c r="I25" s="54" t="n"/>
      <c r="J25" s="54" t="n"/>
      <c r="K25" s="54" t="n"/>
      <c r="L25" s="54" t="n"/>
      <c r="M25" s="54" t="n"/>
      <c r="N25" s="54" t="n"/>
      <c r="O25" s="54" t="n"/>
      <c r="P25" s="54" t="n"/>
      <c r="Q25" s="54" t="n"/>
    </row>
    <row r="26">
      <c r="A26" s="54" t="n"/>
      <c r="B26" s="54" t="n"/>
      <c r="C26" s="54" t="n"/>
      <c r="D26" s="54" t="n"/>
      <c r="E26" s="54" t="n"/>
      <c r="F26" s="54" t="n"/>
      <c r="G26" s="54" t="n"/>
      <c r="H26" s="54" t="n"/>
      <c r="I26" s="54" t="n"/>
      <c r="J26" s="54" t="n"/>
      <c r="K26" s="54" t="n"/>
      <c r="L26" s="54" t="n"/>
      <c r="M26" s="54" t="n"/>
      <c r="N26" s="54" t="n"/>
      <c r="O26" s="54" t="n"/>
      <c r="P26" s="54" t="n"/>
      <c r="Q26" s="54" t="n"/>
    </row>
    <row r="27">
      <c r="A27" s="54" t="n"/>
      <c r="B27" s="54" t="n"/>
      <c r="C27" s="54" t="n"/>
      <c r="D27" s="54" t="n"/>
      <c r="E27" s="54" t="n"/>
      <c r="F27" s="54" t="n"/>
      <c r="G27" s="54" t="n"/>
      <c r="H27" s="54" t="n"/>
      <c r="I27" s="54" t="n"/>
      <c r="J27" s="54" t="n"/>
      <c r="K27" s="54" t="n"/>
      <c r="L27" s="54" t="n"/>
      <c r="M27" s="54" t="n"/>
      <c r="N27" s="54" t="n"/>
      <c r="O27" s="54" t="n"/>
      <c r="P27" s="54" t="n"/>
      <c r="Q27" s="54" t="n"/>
    </row>
    <row r="28">
      <c r="A28" s="54" t="n"/>
      <c r="B28" s="54" t="n"/>
      <c r="C28" s="54" t="n"/>
      <c r="D28" s="54" t="n"/>
      <c r="E28" s="54" t="n"/>
      <c r="F28" s="54" t="n"/>
      <c r="G28" s="54" t="n"/>
      <c r="H28" s="54" t="n"/>
      <c r="I28" s="54" t="n"/>
      <c r="J28" s="54" t="n"/>
      <c r="K28" s="54" t="n"/>
      <c r="L28" s="54" t="n"/>
      <c r="M28" s="54" t="n"/>
      <c r="N28" s="54" t="n"/>
      <c r="O28" s="54" t="n"/>
      <c r="P28" s="54" t="n"/>
      <c r="Q28" s="54" t="n"/>
    </row>
    <row r="29">
      <c r="A29" s="54" t="n"/>
      <c r="B29" s="54" t="n"/>
      <c r="C29" s="54" t="n"/>
      <c r="D29" s="54" t="n"/>
      <c r="E29" s="54" t="n"/>
      <c r="F29" s="54" t="n"/>
      <c r="G29" s="54" t="n"/>
      <c r="H29" s="54" t="n"/>
      <c r="I29" s="54" t="n"/>
      <c r="J29" s="54" t="n"/>
      <c r="K29" s="54" t="n"/>
      <c r="L29" s="54" t="n"/>
      <c r="M29" s="54" t="n"/>
      <c r="N29" s="54" t="n"/>
      <c r="O29" s="54" t="n"/>
      <c r="P29" s="54" t="n"/>
      <c r="Q29" s="54" t="n"/>
    </row>
    <row r="30">
      <c r="A30" s="54" t="n"/>
      <c r="B30" s="54" t="n"/>
      <c r="C30" s="54" t="n"/>
      <c r="D30" s="54" t="n"/>
      <c r="E30" s="54" t="n"/>
      <c r="F30" s="54" t="n"/>
      <c r="G30" s="54" t="n"/>
      <c r="H30" s="54" t="n"/>
      <c r="I30" s="54" t="n"/>
      <c r="J30" s="54" t="n"/>
      <c r="K30" s="54" t="n"/>
      <c r="L30" s="54" t="n"/>
      <c r="M30" s="54" t="n"/>
      <c r="N30" s="54" t="n"/>
      <c r="O30" s="54" t="n"/>
      <c r="P30" s="54" t="n"/>
      <c r="Q30" s="54" t="n"/>
    </row>
    <row r="31">
      <c r="A31" s="54" t="n"/>
      <c r="B31" s="54" t="n"/>
      <c r="C31" s="54" t="n"/>
      <c r="D31" s="54" t="n"/>
      <c r="E31" s="54" t="n"/>
      <c r="F31" s="54" t="n"/>
      <c r="G31" s="54" t="n"/>
      <c r="H31" s="54" t="n"/>
      <c r="I31" s="54" t="n"/>
      <c r="J31" s="54" t="n"/>
      <c r="K31" s="54" t="n"/>
      <c r="L31" s="54" t="n"/>
      <c r="M31" s="54" t="n"/>
      <c r="N31" s="54" t="n"/>
      <c r="O31" s="54" t="n"/>
      <c r="P31" s="54" t="n"/>
      <c r="Q31" s="54" t="n"/>
    </row>
    <row r="32">
      <c r="A32" s="54" t="n"/>
      <c r="B32" s="54" t="n"/>
      <c r="C32" s="54" t="n"/>
      <c r="D32" s="54" t="n"/>
      <c r="E32" s="54" t="n"/>
      <c r="F32" s="54" t="n"/>
      <c r="G32" s="54" t="n"/>
      <c r="H32" s="54" t="n"/>
      <c r="I32" s="54" t="n"/>
      <c r="J32" s="54" t="n"/>
      <c r="K32" s="54" t="n"/>
      <c r="L32" s="54" t="n"/>
      <c r="M32" s="54" t="n"/>
      <c r="N32" s="54" t="n"/>
      <c r="O32" s="54" t="n"/>
      <c r="P32" s="54" t="n"/>
      <c r="Q32" s="54" t="n"/>
    </row>
    <row r="33">
      <c r="A33" s="54" t="n"/>
      <c r="B33" s="54" t="n"/>
      <c r="C33" s="54" t="n"/>
      <c r="D33" s="54" t="n"/>
      <c r="E33" s="54" t="n"/>
      <c r="F33" s="54" t="n"/>
      <c r="G33" s="54" t="n"/>
      <c r="H33" s="54" t="n"/>
      <c r="I33" s="54" t="n"/>
      <c r="J33" s="54" t="n"/>
      <c r="K33" s="54" t="n"/>
      <c r="L33" s="54" t="n"/>
      <c r="M33" s="54" t="n"/>
      <c r="N33" s="54" t="n"/>
      <c r="O33" s="54" t="n"/>
      <c r="P33" s="54" t="n"/>
      <c r="Q33" s="54" t="n"/>
    </row>
    <row r="34">
      <c r="A34" s="54" t="n"/>
      <c r="B34" s="54" t="n"/>
      <c r="C34" s="54" t="n"/>
      <c r="D34" s="54" t="n"/>
      <c r="E34" s="54" t="n"/>
      <c r="F34" s="54" t="n"/>
      <c r="G34" s="54" t="n"/>
      <c r="H34" s="54" t="n"/>
      <c r="I34" s="54" t="n"/>
      <c r="J34" s="54" t="n"/>
      <c r="K34" s="54" t="n"/>
      <c r="L34" s="54" t="n"/>
      <c r="M34" s="54" t="n"/>
      <c r="N34" s="54" t="n"/>
      <c r="O34" s="54" t="n"/>
      <c r="P34" s="54" t="n"/>
      <c r="Q34" s="54" t="n"/>
    </row>
    <row r="35">
      <c r="A35" s="54" t="n"/>
      <c r="B35" s="54" t="n"/>
      <c r="C35" s="54" t="n"/>
      <c r="D35" s="54" t="n"/>
      <c r="E35" s="54" t="n"/>
      <c r="F35" s="54" t="n"/>
      <c r="G35" s="54" t="n"/>
      <c r="H35" s="54" t="n"/>
      <c r="I35" s="54" t="n"/>
      <c r="J35" s="54" t="n"/>
      <c r="K35" s="54" t="n"/>
      <c r="L35" s="54" t="n"/>
      <c r="M35" s="54" t="n"/>
      <c r="N35" s="54" t="n"/>
      <c r="O35" s="54" t="n"/>
      <c r="P35" s="54" t="n"/>
      <c r="Q35" s="54" t="n"/>
    </row>
    <row r="36">
      <c r="A36" s="54" t="n"/>
      <c r="B36" s="54" t="n"/>
      <c r="C36" s="54" t="n"/>
      <c r="D36" s="54" t="n"/>
      <c r="E36" s="54" t="n"/>
      <c r="F36" s="54" t="n"/>
      <c r="G36" s="54" t="n"/>
      <c r="H36" s="54" t="n"/>
      <c r="I36" s="54" t="n"/>
      <c r="J36" s="54" t="n"/>
      <c r="K36" s="54" t="n"/>
      <c r="L36" s="54" t="n"/>
      <c r="M36" s="54" t="n"/>
      <c r="N36" s="54" t="n"/>
      <c r="O36" s="54" t="n"/>
      <c r="P36" s="54" t="n"/>
      <c r="Q36" s="54" t="n"/>
    </row>
    <row r="37">
      <c r="A37" s="54" t="n"/>
      <c r="B37" s="54" t="n"/>
      <c r="C37" s="54" t="n"/>
      <c r="D37" s="54" t="n"/>
      <c r="E37" s="54" t="n"/>
      <c r="F37" s="54" t="n"/>
      <c r="G37" s="54" t="n"/>
      <c r="H37" s="54" t="n"/>
      <c r="I37" s="54" t="n"/>
      <c r="J37" s="54" t="n"/>
      <c r="K37" s="54" t="n"/>
      <c r="L37" s="54" t="n"/>
      <c r="M37" s="54" t="n"/>
      <c r="N37" s="54" t="n"/>
      <c r="O37" s="54" t="n"/>
      <c r="P37" s="54" t="n"/>
      <c r="Q37" s="54" t="n"/>
    </row>
    <row r="38">
      <c r="A38" s="54" t="n"/>
      <c r="B38" s="54" t="n"/>
      <c r="C38" s="54" t="n"/>
      <c r="D38" s="54" t="n"/>
      <c r="E38" s="54" t="n"/>
      <c r="F38" s="54" t="n"/>
      <c r="G38" s="54" t="n"/>
      <c r="H38" s="54" t="n"/>
      <c r="I38" s="54" t="n"/>
      <c r="J38" s="54" t="n"/>
      <c r="K38" s="54" t="n"/>
      <c r="L38" s="54" t="n"/>
      <c r="M38" s="54" t="n"/>
      <c r="N38" s="54" t="n"/>
      <c r="O38" s="54" t="n"/>
      <c r="P38" s="54" t="n"/>
      <c r="Q38" s="54" t="n"/>
    </row>
    <row r="39">
      <c r="A39" s="54" t="n"/>
      <c r="B39" s="54" t="n"/>
      <c r="C39" s="54" t="n"/>
      <c r="D39" s="54" t="n"/>
      <c r="E39" s="54" t="n"/>
      <c r="F39" s="54" t="n"/>
      <c r="G39" s="54" t="n"/>
      <c r="H39" s="54" t="n"/>
      <c r="I39" s="54" t="n"/>
      <c r="J39" s="54" t="n"/>
      <c r="K39" s="54" t="n"/>
      <c r="L39" s="54" t="n"/>
      <c r="M39" s="54" t="n"/>
      <c r="N39" s="54" t="n"/>
      <c r="O39" s="54" t="n"/>
      <c r="P39" s="54" t="n"/>
      <c r="Q39" s="54" t="n"/>
    </row>
    <row r="40">
      <c r="A40" s="54" t="n"/>
      <c r="B40" s="54" t="n"/>
      <c r="C40" s="54" t="n"/>
      <c r="D40" s="54" t="n"/>
      <c r="E40" s="54" t="n"/>
      <c r="F40" s="54" t="n"/>
      <c r="G40" s="54" t="n"/>
      <c r="H40" s="54" t="n"/>
      <c r="I40" s="54" t="n"/>
      <c r="J40" s="54" t="n"/>
      <c r="K40" s="54" t="n"/>
      <c r="L40" s="54" t="n"/>
      <c r="M40" s="54" t="n"/>
      <c r="N40" s="54" t="n"/>
      <c r="O40" s="54" t="n"/>
      <c r="P40" s="54" t="n"/>
      <c r="Q40" s="54" t="n"/>
    </row>
    <row r="41">
      <c r="A41" s="54" t="n"/>
      <c r="B41" s="54" t="n"/>
      <c r="C41" s="54" t="n"/>
      <c r="D41" s="54" t="n"/>
      <c r="E41" s="54" t="n"/>
      <c r="F41" s="54" t="n"/>
      <c r="G41" s="54" t="n"/>
      <c r="H41" s="54" t="n"/>
      <c r="I41" s="54" t="n"/>
      <c r="J41" s="54" t="n"/>
      <c r="K41" s="54" t="n"/>
      <c r="L41" s="54" t="n"/>
      <c r="M41" s="54" t="n"/>
      <c r="N41" s="54" t="n"/>
      <c r="O41" s="54" t="n"/>
      <c r="P41" s="54" t="n"/>
      <c r="Q41" s="54" t="n"/>
    </row>
    <row r="42">
      <c r="A42" s="54" t="n"/>
      <c r="B42" s="54" t="n"/>
      <c r="C42" s="54" t="n"/>
      <c r="D42" s="54" t="n"/>
      <c r="E42" s="54" t="n"/>
      <c r="F42" s="54" t="n"/>
      <c r="G42" s="54" t="n"/>
      <c r="H42" s="54" t="n"/>
      <c r="I42" s="54" t="n"/>
      <c r="J42" s="54" t="n"/>
      <c r="K42" s="54" t="n"/>
      <c r="L42" s="54" t="n"/>
      <c r="M42" s="54" t="n"/>
      <c r="N42" s="54" t="n"/>
      <c r="O42" s="54" t="n"/>
      <c r="P42" s="54" t="n"/>
      <c r="Q42" s="54" t="n"/>
    </row>
    <row r="43">
      <c r="A43" s="54" t="n"/>
      <c r="B43" s="54" t="n"/>
      <c r="C43" s="54" t="n"/>
      <c r="D43" s="54" t="n"/>
      <c r="E43" s="54" t="n"/>
      <c r="F43" s="54" t="n"/>
      <c r="G43" s="54" t="n"/>
      <c r="H43" s="54" t="n"/>
      <c r="I43" s="54" t="n"/>
      <c r="J43" s="54" t="n"/>
      <c r="K43" s="54" t="n"/>
      <c r="L43" s="54" t="n"/>
      <c r="M43" s="54" t="n"/>
      <c r="N43" s="54" t="n"/>
      <c r="O43" s="54" t="n"/>
      <c r="P43" s="54" t="n"/>
      <c r="Q43" s="54" t="n"/>
    </row>
    <row r="44">
      <c r="A44" s="54" t="n"/>
      <c r="B44" s="54" t="n"/>
      <c r="C44" s="54" t="n"/>
      <c r="D44" s="54" t="n"/>
      <c r="E44" s="54" t="n"/>
      <c r="F44" s="54" t="n"/>
      <c r="G44" s="54" t="n"/>
      <c r="H44" s="54" t="n"/>
      <c r="I44" s="54" t="n"/>
      <c r="J44" s="54" t="n"/>
      <c r="K44" s="54" t="n"/>
      <c r="L44" s="54" t="n"/>
      <c r="M44" s="54" t="n"/>
      <c r="N44" s="54" t="n"/>
      <c r="O44" s="54" t="n"/>
      <c r="P44" s="54" t="n"/>
      <c r="Q44" s="54" t="n"/>
    </row>
    <row r="45">
      <c r="A45" s="54" t="n"/>
      <c r="B45" s="54" t="n"/>
      <c r="C45" s="54" t="n"/>
      <c r="D45" s="54" t="n"/>
      <c r="E45" s="54" t="n"/>
      <c r="F45" s="54" t="n"/>
      <c r="G45" s="54" t="n"/>
      <c r="H45" s="54" t="n"/>
      <c r="I45" s="54" t="n"/>
      <c r="J45" s="54" t="n"/>
      <c r="K45" s="54" t="n"/>
      <c r="L45" s="54" t="n"/>
      <c r="M45" s="54" t="n"/>
      <c r="N45" s="54" t="n"/>
      <c r="O45" s="54" t="n"/>
      <c r="P45" s="54" t="n"/>
      <c r="Q45" s="54" t="n"/>
    </row>
    <row r="46">
      <c r="A46" s="54" t="n"/>
      <c r="B46" s="54" t="n"/>
      <c r="C46" s="54" t="n"/>
      <c r="D46" s="54" t="n"/>
      <c r="E46" s="54" t="n"/>
      <c r="F46" s="54" t="n"/>
      <c r="G46" s="54" t="n"/>
      <c r="H46" s="54" t="n"/>
      <c r="I46" s="54" t="n"/>
      <c r="J46" s="54" t="n"/>
      <c r="K46" s="54" t="n"/>
      <c r="L46" s="54" t="n"/>
      <c r="M46" s="54" t="n"/>
      <c r="N46" s="54" t="n"/>
      <c r="O46" s="54" t="n"/>
      <c r="P46" s="54" t="n"/>
      <c r="Q46" s="54" t="n"/>
    </row>
    <row r="47">
      <c r="A47" s="54" t="n"/>
      <c r="B47" s="54" t="n"/>
      <c r="C47" s="54" t="n"/>
      <c r="D47" s="54" t="n"/>
      <c r="E47" s="54" t="n"/>
      <c r="F47" s="54" t="n"/>
      <c r="G47" s="54" t="n"/>
      <c r="H47" s="54" t="n"/>
      <c r="I47" s="54" t="n"/>
      <c r="J47" s="54" t="n"/>
      <c r="K47" s="54" t="n"/>
      <c r="L47" s="54" t="n"/>
      <c r="M47" s="54" t="n"/>
      <c r="N47" s="54" t="n"/>
      <c r="O47" s="54" t="n"/>
      <c r="P47" s="54" t="n"/>
      <c r="Q47" s="54" t="n"/>
    </row>
    <row r="48">
      <c r="A48" s="54" t="n"/>
      <c r="B48" s="54" t="n"/>
      <c r="C48" s="54" t="n"/>
      <c r="D48" s="54" t="n"/>
      <c r="E48" s="54" t="n"/>
      <c r="F48" s="54" t="n"/>
      <c r="G48" s="54" t="n"/>
      <c r="H48" s="54" t="n"/>
      <c r="I48" s="54" t="n"/>
      <c r="J48" s="54" t="n"/>
      <c r="K48" s="54" t="n"/>
      <c r="L48" s="54" t="n"/>
      <c r="M48" s="54" t="n"/>
      <c r="N48" s="54" t="n"/>
      <c r="O48" s="54" t="n"/>
      <c r="P48" s="54" t="n"/>
      <c r="Q48" s="54" t="n"/>
    </row>
    <row r="49">
      <c r="A49" s="54" t="n"/>
      <c r="B49" s="54" t="n"/>
      <c r="C49" s="54" t="n"/>
      <c r="D49" s="54" t="n"/>
      <c r="E49" s="54" t="n"/>
      <c r="F49" s="54" t="n"/>
      <c r="G49" s="54" t="n"/>
      <c r="H49" s="54" t="n"/>
      <c r="I49" s="54" t="n"/>
      <c r="J49" s="54" t="n"/>
      <c r="K49" s="54" t="n"/>
      <c r="L49" s="54" t="n"/>
      <c r="M49" s="54" t="n"/>
      <c r="N49" s="54" t="n"/>
      <c r="O49" s="54" t="n"/>
      <c r="P49" s="54" t="n"/>
      <c r="Q49" s="54" t="n"/>
    </row>
    <row r="50">
      <c r="A50" s="54" t="n"/>
      <c r="B50" s="54" t="n"/>
      <c r="C50" s="54" t="n"/>
      <c r="D50" s="54" t="n"/>
      <c r="E50" s="54" t="n"/>
      <c r="F50" s="54" t="n"/>
      <c r="G50" s="54" t="n"/>
      <c r="H50" s="54" t="n"/>
      <c r="I50" s="54" t="n"/>
      <c r="J50" s="54" t="n"/>
      <c r="K50" s="54" t="n"/>
      <c r="L50" s="54" t="n"/>
      <c r="M50" s="54" t="n"/>
      <c r="N50" s="54" t="n"/>
      <c r="O50" s="54" t="n"/>
      <c r="P50" s="54" t="n"/>
      <c r="Q50" s="54" t="n"/>
    </row>
    <row r="51">
      <c r="A51" s="54" t="n"/>
      <c r="B51" s="54" t="n"/>
      <c r="C51" s="54" t="n"/>
      <c r="D51" s="54" t="n"/>
      <c r="E51" s="54" t="n"/>
      <c r="F51" s="54" t="n"/>
      <c r="G51" s="54" t="n"/>
      <c r="H51" s="54" t="n"/>
      <c r="I51" s="54" t="n"/>
      <c r="J51" s="54" t="n"/>
      <c r="K51" s="54" t="n"/>
      <c r="L51" s="54" t="n"/>
      <c r="M51" s="54" t="n"/>
      <c r="N51" s="54" t="n"/>
      <c r="O51" s="54" t="n"/>
      <c r="P51" s="54" t="n"/>
      <c r="Q51" s="54" t="n"/>
    </row>
    <row r="52">
      <c r="A52" s="54" t="n"/>
      <c r="B52" s="54" t="n"/>
      <c r="C52" s="54" t="n"/>
      <c r="D52" s="54" t="n"/>
      <c r="E52" s="54" t="n"/>
      <c r="F52" s="54" t="n"/>
      <c r="G52" s="54" t="n"/>
      <c r="H52" s="54" t="n"/>
      <c r="I52" s="54" t="n"/>
      <c r="J52" s="54" t="n"/>
      <c r="K52" s="54" t="n"/>
      <c r="L52" s="54" t="n"/>
      <c r="M52" s="54" t="n"/>
      <c r="N52" s="54" t="n"/>
      <c r="O52" s="54" t="n"/>
      <c r="P52" s="54" t="n"/>
      <c r="Q52" s="54" t="n"/>
    </row>
    <row r="53">
      <c r="A53" s="54" t="n"/>
      <c r="B53" s="54" t="n"/>
      <c r="C53" s="54" t="n"/>
      <c r="D53" s="54" t="n"/>
      <c r="E53" s="54" t="n"/>
      <c r="F53" s="54" t="n"/>
      <c r="G53" s="54" t="n"/>
      <c r="H53" s="54" t="n"/>
      <c r="I53" s="54" t="n"/>
      <c r="J53" s="54" t="n"/>
      <c r="K53" s="54" t="n"/>
      <c r="L53" s="54" t="n"/>
      <c r="M53" s="54" t="n"/>
      <c r="N53" s="54" t="n"/>
      <c r="O53" s="54" t="n"/>
      <c r="P53" s="54" t="n"/>
      <c r="Q53" s="54" t="n"/>
    </row>
    <row r="54">
      <c r="A54" s="54" t="n"/>
      <c r="B54" s="54" t="n"/>
      <c r="C54" s="54" t="n"/>
      <c r="D54" s="54" t="n"/>
      <c r="E54" s="54" t="n"/>
      <c r="F54" s="54" t="n"/>
      <c r="G54" s="54" t="n"/>
      <c r="H54" s="54" t="n"/>
      <c r="I54" s="54" t="n"/>
      <c r="J54" s="54" t="n"/>
      <c r="K54" s="54" t="n"/>
      <c r="L54" s="54" t="n"/>
      <c r="M54" s="54" t="n"/>
      <c r="N54" s="54" t="n"/>
      <c r="O54" s="54" t="n"/>
      <c r="P54" s="54" t="n"/>
      <c r="Q54" s="54" t="n"/>
    </row>
    <row r="55">
      <c r="A55" s="54" t="n"/>
      <c r="B55" s="54" t="n"/>
      <c r="C55" s="54" t="n"/>
      <c r="D55" s="54" t="n"/>
      <c r="E55" s="54" t="n"/>
      <c r="F55" s="54" t="n"/>
      <c r="G55" s="54" t="n"/>
      <c r="H55" s="54" t="n"/>
      <c r="I55" s="54" t="n"/>
      <c r="J55" s="54" t="n"/>
      <c r="K55" s="54" t="n"/>
      <c r="L55" s="54" t="n"/>
      <c r="M55" s="54" t="n"/>
      <c r="N55" s="54" t="n"/>
      <c r="O55" s="54" t="n"/>
      <c r="P55" s="54" t="n"/>
      <c r="Q55" s="54" t="n"/>
    </row>
    <row r="56">
      <c r="A56" s="54" t="n"/>
      <c r="B56" s="54" t="n"/>
      <c r="C56" s="54" t="n"/>
      <c r="D56" s="54" t="n"/>
      <c r="E56" s="54" t="n"/>
      <c r="F56" s="54" t="n"/>
      <c r="G56" s="54" t="n"/>
      <c r="H56" s="54" t="n"/>
      <c r="I56" s="54" t="n"/>
      <c r="J56" s="54" t="n"/>
      <c r="K56" s="54" t="n"/>
      <c r="L56" s="54" t="n"/>
      <c r="M56" s="54" t="n"/>
      <c r="N56" s="54" t="n"/>
      <c r="O56" s="54" t="n"/>
      <c r="P56" s="54" t="n"/>
      <c r="Q56" s="54" t="n"/>
    </row>
    <row r="57">
      <c r="A57" s="54" t="n"/>
      <c r="B57" s="54" t="n"/>
      <c r="C57" s="54" t="n"/>
      <c r="D57" s="54" t="n"/>
      <c r="E57" s="54" t="n"/>
      <c r="F57" s="54" t="n"/>
      <c r="G57" s="54" t="n"/>
      <c r="H57" s="54" t="n"/>
      <c r="I57" s="54" t="n"/>
      <c r="J57" s="54" t="n"/>
      <c r="K57" s="54" t="n"/>
      <c r="L57" s="54" t="n"/>
      <c r="M57" s="54" t="n"/>
      <c r="N57" s="54" t="n"/>
      <c r="O57" s="54" t="n"/>
      <c r="P57" s="54" t="n"/>
      <c r="Q57" s="54" t="n"/>
    </row>
    <row r="58">
      <c r="A58" s="54" t="n"/>
      <c r="B58" s="54" t="n"/>
      <c r="C58" s="54" t="n"/>
      <c r="D58" s="54" t="n"/>
      <c r="E58" s="54" t="n"/>
      <c r="F58" s="54" t="n"/>
      <c r="G58" s="54" t="n"/>
      <c r="H58" s="54" t="n"/>
      <c r="I58" s="54" t="n"/>
      <c r="J58" s="54" t="n"/>
      <c r="K58" s="54" t="n"/>
      <c r="L58" s="54" t="n"/>
      <c r="M58" s="54" t="n"/>
      <c r="N58" s="54" t="n"/>
      <c r="O58" s="54" t="n"/>
      <c r="P58" s="54" t="n"/>
      <c r="Q58" s="54" t="n"/>
    </row>
    <row r="59">
      <c r="A59" s="54" t="n"/>
      <c r="B59" s="54" t="n"/>
      <c r="C59" s="54" t="n"/>
      <c r="D59" s="54" t="n"/>
      <c r="E59" s="54" t="n"/>
      <c r="F59" s="54" t="n"/>
      <c r="G59" s="54" t="n"/>
      <c r="H59" s="54" t="n"/>
      <c r="I59" s="54" t="n"/>
      <c r="J59" s="54" t="n"/>
      <c r="K59" s="54" t="n"/>
      <c r="L59" s="54" t="n"/>
      <c r="M59" s="54" t="n"/>
      <c r="N59" s="54" t="n"/>
      <c r="O59" s="54" t="n"/>
      <c r="P59" s="54" t="n"/>
      <c r="Q59" s="54" t="n"/>
    </row>
    <row r="60">
      <c r="A60" s="54" t="n"/>
      <c r="B60" s="54" t="n"/>
      <c r="C60" s="54" t="n"/>
      <c r="D60" s="54" t="n"/>
      <c r="E60" s="54" t="n"/>
      <c r="F60" s="54" t="n"/>
      <c r="G60" s="54" t="n"/>
      <c r="H60" s="54" t="n"/>
      <c r="I60" s="54" t="n"/>
      <c r="J60" s="54" t="n"/>
      <c r="K60" s="54" t="n"/>
      <c r="L60" s="54" t="n"/>
      <c r="M60" s="54" t="n"/>
      <c r="N60" s="54" t="n"/>
      <c r="O60" s="54" t="n"/>
      <c r="P60" s="54" t="n"/>
      <c r="Q60" s="54" t="n"/>
    </row>
    <row r="61">
      <c r="A61" s="54" t="n"/>
      <c r="B61" s="54" t="n"/>
      <c r="C61" s="54" t="n"/>
      <c r="D61" s="54" t="n"/>
      <c r="E61" s="54" t="n"/>
      <c r="F61" s="54" t="n"/>
      <c r="G61" s="54" t="n"/>
      <c r="H61" s="54" t="n"/>
      <c r="I61" s="54" t="n"/>
      <c r="J61" s="54" t="n"/>
      <c r="K61" s="54" t="n"/>
      <c r="L61" s="54" t="n"/>
      <c r="M61" s="54" t="n"/>
      <c r="N61" s="54" t="n"/>
      <c r="O61" s="54" t="n"/>
      <c r="P61" s="54" t="n"/>
      <c r="Q61" s="54" t="n"/>
    </row>
    <row r="62">
      <c r="A62" s="54" t="n"/>
      <c r="B62" s="54" t="n"/>
      <c r="C62" s="54" t="n"/>
      <c r="D62" s="54" t="n"/>
      <c r="E62" s="54" t="n"/>
      <c r="F62" s="54" t="n"/>
      <c r="G62" s="54" t="n"/>
      <c r="H62" s="54" t="n"/>
      <c r="I62" s="54" t="n"/>
      <c r="J62" s="54" t="n"/>
      <c r="K62" s="54" t="n"/>
      <c r="L62" s="54" t="n"/>
      <c r="M62" s="54" t="n"/>
      <c r="N62" s="54" t="n"/>
      <c r="O62" s="54" t="n"/>
      <c r="P62" s="54" t="n"/>
      <c r="Q62" s="54" t="n"/>
    </row>
    <row r="63">
      <c r="A63" s="54" t="n"/>
      <c r="B63" s="54" t="n"/>
      <c r="C63" s="54" t="n"/>
      <c r="D63" s="54" t="n"/>
      <c r="E63" s="54" t="n"/>
      <c r="F63" s="54" t="n"/>
      <c r="G63" s="54" t="n"/>
      <c r="H63" s="54" t="n"/>
      <c r="I63" s="54" t="n"/>
      <c r="J63" s="54" t="n"/>
      <c r="K63" s="54" t="n"/>
      <c r="L63" s="54" t="n"/>
      <c r="M63" s="54" t="n"/>
      <c r="N63" s="54" t="n"/>
      <c r="O63" s="54" t="n"/>
      <c r="P63" s="54" t="n"/>
      <c r="Q63" s="54" t="n"/>
    </row>
    <row r="64">
      <c r="A64" s="54" t="n"/>
      <c r="B64" s="54" t="n"/>
      <c r="C64" s="54" t="n"/>
      <c r="D64" s="54" t="n"/>
      <c r="E64" s="54" t="n"/>
      <c r="F64" s="54" t="n"/>
      <c r="G64" s="54" t="n"/>
      <c r="H64" s="54" t="n"/>
      <c r="I64" s="54" t="n"/>
      <c r="J64" s="54" t="n"/>
      <c r="K64" s="54" t="n"/>
      <c r="L64" s="54" t="n"/>
      <c r="M64" s="54" t="n"/>
      <c r="N64" s="54" t="n"/>
      <c r="O64" s="54" t="n"/>
      <c r="P64" s="54" t="n"/>
      <c r="Q64" s="54" t="n"/>
    </row>
    <row r="65">
      <c r="A65" s="54" t="n"/>
      <c r="B65" s="54" t="n"/>
      <c r="C65" s="54" t="n"/>
      <c r="D65" s="54" t="n"/>
      <c r="E65" s="54" t="n"/>
      <c r="F65" s="54" t="n"/>
      <c r="G65" s="54" t="n"/>
      <c r="H65" s="54" t="n"/>
      <c r="I65" s="54" t="n"/>
      <c r="J65" s="54" t="n"/>
      <c r="K65" s="54" t="n"/>
      <c r="L65" s="54" t="n"/>
      <c r="M65" s="54" t="n"/>
      <c r="N65" s="54" t="n"/>
      <c r="O65" s="54" t="n"/>
      <c r="P65" s="54" t="n"/>
      <c r="Q65" s="54" t="n"/>
    </row>
    <row r="66">
      <c r="A66" s="54" t="n"/>
      <c r="B66" s="54" t="n"/>
      <c r="C66" s="54" t="n"/>
      <c r="D66" s="54" t="n"/>
      <c r="E66" s="54" t="n"/>
      <c r="F66" s="54" t="n"/>
      <c r="G66" s="54" t="n"/>
      <c r="H66" s="54" t="n"/>
      <c r="I66" s="54" t="n"/>
      <c r="J66" s="54" t="n"/>
      <c r="K66" s="54" t="n"/>
      <c r="L66" s="54" t="n"/>
      <c r="M66" s="54" t="n"/>
      <c r="N66" s="54" t="n"/>
      <c r="O66" s="54" t="n"/>
      <c r="P66" s="54" t="n"/>
      <c r="Q66" s="54" t="n"/>
    </row>
    <row r="67">
      <c r="A67" s="54" t="n"/>
      <c r="B67" s="54" t="n"/>
      <c r="C67" s="54" t="n"/>
      <c r="D67" s="54" t="n"/>
      <c r="E67" s="54" t="n"/>
      <c r="F67" s="54" t="n"/>
      <c r="G67" s="54" t="n"/>
      <c r="H67" s="54" t="n"/>
      <c r="I67" s="54" t="n"/>
      <c r="J67" s="54" t="n"/>
      <c r="K67" s="54" t="n"/>
      <c r="L67" s="54" t="n"/>
      <c r="M67" s="54" t="n"/>
      <c r="N67" s="54" t="n"/>
      <c r="O67" s="54" t="n"/>
      <c r="P67" s="54" t="n"/>
      <c r="Q67" s="54" t="n"/>
    </row>
    <row r="68">
      <c r="A68" s="54" t="n"/>
      <c r="B68" s="54" t="n"/>
      <c r="C68" s="54" t="n"/>
      <c r="D68" s="54" t="n"/>
      <c r="E68" s="54" t="n"/>
      <c r="F68" s="54" t="n"/>
      <c r="G68" s="54" t="n"/>
      <c r="H68" s="54" t="n"/>
      <c r="I68" s="54" t="n"/>
      <c r="J68" s="54" t="n"/>
      <c r="K68" s="54" t="n"/>
      <c r="L68" s="54" t="n"/>
      <c r="M68" s="54" t="n"/>
      <c r="N68" s="54" t="n"/>
      <c r="O68" s="54" t="n"/>
      <c r="P68" s="54" t="n"/>
      <c r="Q68" s="54" t="n"/>
    </row>
    <row r="69">
      <c r="A69" s="54" t="n"/>
      <c r="B69" s="54" t="n"/>
      <c r="C69" s="54" t="n"/>
      <c r="D69" s="54" t="n"/>
      <c r="E69" s="54" t="n"/>
      <c r="F69" s="54" t="n"/>
      <c r="G69" s="54" t="n"/>
      <c r="H69" s="54" t="n"/>
      <c r="I69" s="54" t="n"/>
      <c r="J69" s="54" t="n"/>
      <c r="K69" s="54" t="n"/>
      <c r="L69" s="54" t="n"/>
      <c r="M69" s="54" t="n"/>
      <c r="N69" s="54" t="n"/>
      <c r="O69" s="54" t="n"/>
      <c r="P69" s="54" t="n"/>
      <c r="Q69" s="54" t="n"/>
    </row>
    <row r="70">
      <c r="A70" s="54" t="n"/>
      <c r="B70" s="54" t="n"/>
      <c r="C70" s="54" t="n"/>
      <c r="D70" s="54" t="n"/>
      <c r="E70" s="54" t="n"/>
      <c r="F70" s="54" t="n"/>
      <c r="G70" s="54" t="n"/>
      <c r="H70" s="54" t="n"/>
      <c r="I70" s="54" t="n"/>
      <c r="J70" s="54" t="n"/>
      <c r="K70" s="54" t="n"/>
      <c r="L70" s="54" t="n"/>
      <c r="M70" s="54" t="n"/>
      <c r="N70" s="54" t="n"/>
      <c r="O70" s="54" t="n"/>
      <c r="P70" s="54" t="n"/>
      <c r="Q70" s="54" t="n"/>
    </row>
    <row r="71">
      <c r="A71" s="54" t="n"/>
      <c r="B71" s="54" t="n"/>
      <c r="C71" s="54" t="n"/>
      <c r="D71" s="54" t="n"/>
      <c r="E71" s="54" t="n"/>
      <c r="F71" s="54" t="n"/>
      <c r="G71" s="54" t="n"/>
      <c r="H71" s="54" t="n"/>
      <c r="I71" s="54" t="n"/>
      <c r="J71" s="54" t="n"/>
      <c r="K71" s="54" t="n"/>
      <c r="L71" s="54" t="n"/>
      <c r="M71" s="54" t="n"/>
      <c r="N71" s="54" t="n"/>
      <c r="O71" s="54" t="n"/>
      <c r="P71" s="54" t="n"/>
      <c r="Q71" s="54" t="n"/>
    </row>
    <row r="72">
      <c r="A72" s="54" t="n"/>
      <c r="B72" s="54" t="n"/>
      <c r="C72" s="54" t="n"/>
      <c r="D72" s="54" t="n"/>
      <c r="E72" s="54" t="n"/>
      <c r="F72" s="54" t="n"/>
      <c r="G72" s="54" t="n"/>
      <c r="H72" s="54" t="n"/>
      <c r="I72" s="54" t="n"/>
      <c r="J72" s="54" t="n"/>
      <c r="K72" s="54" t="n"/>
      <c r="L72" s="54" t="n"/>
      <c r="M72" s="54" t="n"/>
      <c r="N72" s="54" t="n"/>
      <c r="O72" s="54" t="n"/>
      <c r="P72" s="54" t="n"/>
      <c r="Q72" s="54" t="n"/>
    </row>
    <row r="73">
      <c r="A73" s="54" t="n"/>
      <c r="B73" s="54" t="n"/>
      <c r="C73" s="54" t="n"/>
      <c r="D73" s="54" t="n"/>
      <c r="E73" s="54" t="n"/>
      <c r="F73" s="54" t="n"/>
      <c r="G73" s="54" t="n"/>
      <c r="H73" s="54" t="n"/>
      <c r="I73" s="54" t="n"/>
      <c r="J73" s="54" t="n"/>
      <c r="K73" s="54" t="n"/>
      <c r="L73" s="54" t="n"/>
      <c r="M73" s="54" t="n"/>
      <c r="N73" s="54" t="n"/>
      <c r="O73" s="54" t="n"/>
      <c r="P73" s="54" t="n"/>
      <c r="Q73" s="54" t="n"/>
    </row>
    <row r="74">
      <c r="A74" s="54" t="n"/>
      <c r="B74" s="54" t="n"/>
      <c r="C74" s="54" t="n"/>
      <c r="D74" s="54" t="n"/>
      <c r="E74" s="54" t="n"/>
      <c r="F74" s="54" t="n"/>
      <c r="G74" s="54" t="n"/>
      <c r="H74" s="54" t="n"/>
      <c r="I74" s="54" t="n"/>
      <c r="J74" s="54" t="n"/>
      <c r="K74" s="54" t="n"/>
      <c r="L74" s="54" t="n"/>
      <c r="M74" s="54" t="n"/>
      <c r="N74" s="54" t="n"/>
      <c r="O74" s="54" t="n"/>
      <c r="P74" s="54" t="n"/>
      <c r="Q74" s="54" t="n"/>
    </row>
    <row r="75">
      <c r="A75" s="54" t="n"/>
      <c r="B75" s="54" t="n"/>
      <c r="C75" s="54" t="n"/>
      <c r="D75" s="54" t="n"/>
      <c r="E75" s="54" t="n"/>
      <c r="F75" s="54" t="n"/>
      <c r="G75" s="54" t="n"/>
      <c r="H75" s="54" t="n"/>
      <c r="I75" s="54" t="n"/>
      <c r="J75" s="54" t="n"/>
      <c r="K75" s="54" t="n"/>
      <c r="L75" s="54" t="n"/>
      <c r="M75" s="54" t="n"/>
      <c r="N75" s="54" t="n"/>
      <c r="O75" s="54" t="n"/>
      <c r="P75" s="54" t="n"/>
      <c r="Q75" s="54" t="n"/>
    </row>
    <row r="76">
      <c r="A76" s="54" t="n"/>
      <c r="B76" s="54" t="n"/>
      <c r="C76" s="54" t="n"/>
      <c r="D76" s="54" t="n"/>
      <c r="E76" s="54" t="n"/>
      <c r="F76" s="54" t="n"/>
      <c r="G76" s="54" t="n"/>
      <c r="H76" s="54" t="n"/>
      <c r="I76" s="54" t="n"/>
      <c r="J76" s="54" t="n"/>
      <c r="K76" s="54" t="n"/>
      <c r="L76" s="54" t="n"/>
      <c r="M76" s="54" t="n"/>
      <c r="N76" s="54" t="n"/>
      <c r="O76" s="54" t="n"/>
      <c r="P76" s="54" t="n"/>
      <c r="Q76" s="54" t="n"/>
    </row>
    <row r="77">
      <c r="A77" s="54" t="n"/>
      <c r="B77" s="54" t="n"/>
      <c r="C77" s="54" t="n"/>
      <c r="D77" s="54" t="n"/>
      <c r="E77" s="54" t="n"/>
      <c r="F77" s="54" t="n"/>
      <c r="G77" s="54" t="n"/>
      <c r="H77" s="54" t="n"/>
      <c r="I77" s="54" t="n"/>
      <c r="J77" s="54" t="n"/>
      <c r="K77" s="54" t="n"/>
      <c r="L77" s="54" t="n"/>
      <c r="M77" s="54" t="n"/>
      <c r="N77" s="54" t="n"/>
      <c r="O77" s="54" t="n"/>
      <c r="P77" s="54" t="n"/>
      <c r="Q77" s="54" t="n"/>
    </row>
    <row r="78">
      <c r="A78" s="54" t="n"/>
      <c r="B78" s="54" t="n"/>
      <c r="C78" s="54" t="n"/>
      <c r="D78" s="54" t="n"/>
      <c r="E78" s="54" t="n"/>
      <c r="F78" s="54" t="n"/>
      <c r="G78" s="54" t="n"/>
      <c r="H78" s="54" t="n"/>
      <c r="I78" s="54" t="n"/>
      <c r="J78" s="54" t="n"/>
      <c r="K78" s="54" t="n"/>
      <c r="L78" s="54" t="n"/>
      <c r="M78" s="54" t="n"/>
      <c r="N78" s="54" t="n"/>
      <c r="O78" s="54" t="n"/>
      <c r="P78" s="54" t="n"/>
      <c r="Q78" s="54" t="n"/>
    </row>
    <row r="79">
      <c r="A79" s="54" t="n"/>
      <c r="B79" s="54" t="n"/>
      <c r="C79" s="54" t="n"/>
      <c r="D79" s="54" t="n"/>
      <c r="E79" s="54" t="n"/>
      <c r="F79" s="54" t="n"/>
      <c r="G79" s="54" t="n"/>
      <c r="H79" s="54" t="n"/>
      <c r="I79" s="54" t="n"/>
      <c r="J79" s="54" t="n"/>
      <c r="K79" s="54" t="n"/>
      <c r="L79" s="54" t="n"/>
      <c r="M79" s="54" t="n"/>
      <c r="N79" s="54" t="n"/>
      <c r="O79" s="54" t="n"/>
      <c r="P79" s="54" t="n"/>
      <c r="Q79" s="54" t="n"/>
    </row>
    <row r="80">
      <c r="A80" s="54" t="n"/>
      <c r="B80" s="54" t="n"/>
      <c r="C80" s="54" t="n"/>
      <c r="D80" s="54" t="n"/>
      <c r="E80" s="54" t="n"/>
      <c r="F80" s="54" t="n"/>
      <c r="G80" s="54" t="n"/>
      <c r="H80" s="54" t="n"/>
      <c r="I80" s="54" t="n"/>
      <c r="J80" s="54" t="n"/>
      <c r="K80" s="54" t="n"/>
      <c r="L80" s="54" t="n"/>
      <c r="M80" s="54" t="n"/>
      <c r="N80" s="54" t="n"/>
      <c r="O80" s="54" t="n"/>
      <c r="P80" s="54" t="n"/>
      <c r="Q80" s="54" t="n"/>
    </row>
    <row r="81">
      <c r="A81" s="54" t="n"/>
      <c r="B81" s="54" t="n"/>
      <c r="C81" s="54" t="n"/>
      <c r="D81" s="54" t="n"/>
      <c r="E81" s="54" t="n"/>
      <c r="F81" s="54" t="n"/>
      <c r="G81" s="54" t="n"/>
      <c r="H81" s="54" t="n"/>
      <c r="I81" s="54" t="n"/>
      <c r="J81" s="54" t="n"/>
      <c r="K81" s="54" t="n"/>
      <c r="L81" s="54" t="n"/>
      <c r="M81" s="54" t="n"/>
      <c r="N81" s="54" t="n"/>
      <c r="O81" s="54" t="n"/>
      <c r="P81" s="54" t="n"/>
      <c r="Q81" s="54" t="n"/>
    </row>
    <row r="82">
      <c r="A82" s="54" t="n"/>
      <c r="B82" s="54" t="n"/>
      <c r="C82" s="54" t="n"/>
      <c r="D82" s="54" t="n"/>
      <c r="E82" s="54" t="n"/>
      <c r="F82" s="54" t="n"/>
      <c r="G82" s="54" t="n"/>
      <c r="H82" s="54" t="n"/>
      <c r="I82" s="54" t="n"/>
      <c r="J82" s="54" t="n"/>
      <c r="K82" s="54" t="n"/>
      <c r="L82" s="54" t="n"/>
      <c r="M82" s="54" t="n"/>
      <c r="N82" s="54" t="n"/>
      <c r="O82" s="54" t="n"/>
      <c r="P82" s="54" t="n"/>
      <c r="Q82" s="54" t="n"/>
    </row>
    <row r="83">
      <c r="A83" s="54" t="n"/>
      <c r="B83" s="54" t="n"/>
      <c r="C83" s="54" t="n"/>
      <c r="D83" s="54" t="n"/>
      <c r="E83" s="54" t="n"/>
      <c r="F83" s="54" t="n"/>
      <c r="G83" s="54" t="n"/>
      <c r="H83" s="54" t="n"/>
      <c r="I83" s="54" t="n"/>
      <c r="J83" s="54" t="n"/>
      <c r="K83" s="54" t="n"/>
      <c r="L83" s="54" t="n"/>
      <c r="M83" s="54" t="n"/>
      <c r="N83" s="54" t="n"/>
      <c r="O83" s="54" t="n"/>
      <c r="P83" s="54" t="n"/>
      <c r="Q83" s="54" t="n"/>
    </row>
    <row r="84">
      <c r="A84" s="54" t="n"/>
      <c r="B84" s="54" t="n"/>
      <c r="C84" s="54" t="n"/>
      <c r="D84" s="54" t="n"/>
      <c r="E84" s="54" t="n"/>
      <c r="F84" s="54" t="n"/>
      <c r="G84" s="54" t="n"/>
      <c r="H84" s="54" t="n"/>
      <c r="I84" s="54" t="n"/>
      <c r="J84" s="54" t="n"/>
      <c r="K84" s="54" t="n"/>
      <c r="L84" s="54" t="n"/>
      <c r="M84" s="54" t="n"/>
      <c r="N84" s="54" t="n"/>
      <c r="O84" s="54" t="n"/>
      <c r="P84" s="54" t="n"/>
      <c r="Q84" s="54" t="n"/>
    </row>
    <row r="85">
      <c r="A85" s="54" t="n"/>
      <c r="B85" s="54" t="n"/>
      <c r="C85" s="54" t="n"/>
      <c r="D85" s="54" t="n"/>
      <c r="E85" s="54" t="n"/>
      <c r="F85" s="54" t="n"/>
      <c r="G85" s="54" t="n"/>
      <c r="H85" s="54" t="n"/>
      <c r="I85" s="54" t="n"/>
      <c r="J85" s="54" t="n"/>
      <c r="K85" s="54" t="n"/>
      <c r="L85" s="54" t="n"/>
      <c r="M85" s="54" t="n"/>
      <c r="N85" s="54" t="n"/>
      <c r="O85" s="54" t="n"/>
      <c r="P85" s="54" t="n"/>
      <c r="Q85" s="54" t="n"/>
    </row>
    <row r="86">
      <c r="A86" s="54" t="n"/>
      <c r="B86" s="54" t="n"/>
      <c r="C86" s="54" t="n"/>
      <c r="D86" s="54" t="n"/>
      <c r="E86" s="54" t="n"/>
      <c r="F86" s="54" t="n"/>
      <c r="G86" s="54" t="n"/>
      <c r="H86" s="54" t="n"/>
      <c r="I86" s="54" t="n"/>
      <c r="J86" s="54" t="n"/>
      <c r="K86" s="54" t="n"/>
      <c r="L86" s="54" t="n"/>
      <c r="M86" s="54" t="n"/>
      <c r="N86" s="54" t="n"/>
      <c r="O86" s="54" t="n"/>
      <c r="P86" s="54" t="n"/>
      <c r="Q86" s="54" t="n"/>
    </row>
    <row r="87">
      <c r="A87" s="54" t="n"/>
      <c r="B87" s="54" t="n"/>
      <c r="C87" s="54" t="n"/>
      <c r="D87" s="54" t="n"/>
      <c r="E87" s="54" t="n"/>
      <c r="F87" s="54" t="n"/>
      <c r="G87" s="54" t="n"/>
      <c r="H87" s="54" t="n"/>
      <c r="I87" s="54" t="n"/>
      <c r="J87" s="54" t="n"/>
      <c r="K87" s="54" t="n"/>
      <c r="L87" s="54" t="n"/>
      <c r="M87" s="54" t="n"/>
      <c r="N87" s="54" t="n"/>
      <c r="O87" s="54" t="n"/>
      <c r="P87" s="54" t="n"/>
      <c r="Q87" s="54" t="n"/>
    </row>
    <row r="88">
      <c r="A88" s="54" t="n"/>
      <c r="B88" s="54" t="n"/>
      <c r="C88" s="54" t="n"/>
      <c r="D88" s="54" t="n"/>
      <c r="E88" s="54" t="n"/>
      <c r="F88" s="54" t="n"/>
      <c r="G88" s="54" t="n"/>
      <c r="H88" s="54" t="n"/>
      <c r="I88" s="54" t="n"/>
      <c r="J88" s="54" t="n"/>
      <c r="K88" s="54" t="n"/>
      <c r="L88" s="54" t="n"/>
      <c r="M88" s="54" t="n"/>
      <c r="N88" s="54" t="n"/>
      <c r="O88" s="54" t="n"/>
      <c r="P88" s="54" t="n"/>
      <c r="Q88" s="54" t="n"/>
    </row>
    <row r="89">
      <c r="A89" s="54" t="n"/>
      <c r="B89" s="54" t="n"/>
      <c r="C89" s="54" t="n"/>
      <c r="D89" s="54" t="n"/>
      <c r="E89" s="54" t="n"/>
      <c r="F89" s="54" t="n"/>
      <c r="G89" s="54" t="n"/>
      <c r="H89" s="54" t="n"/>
      <c r="I89" s="54" t="n"/>
      <c r="J89" s="54" t="n"/>
      <c r="K89" s="54" t="n"/>
      <c r="L89" s="54" t="n"/>
      <c r="M89" s="54" t="n"/>
      <c r="N89" s="54" t="n"/>
      <c r="O89" s="54" t="n"/>
      <c r="P89" s="54" t="n"/>
      <c r="Q89" s="54" t="n"/>
    </row>
    <row r="90">
      <c r="A90" s="54" t="n"/>
      <c r="B90" s="54" t="n"/>
      <c r="C90" s="54" t="n"/>
      <c r="D90" s="54" t="n"/>
      <c r="E90" s="54" t="n"/>
      <c r="F90" s="54" t="n"/>
      <c r="G90" s="54" t="n"/>
      <c r="H90" s="54" t="n"/>
      <c r="I90" s="54" t="n"/>
      <c r="J90" s="54" t="n"/>
      <c r="K90" s="54" t="n"/>
      <c r="L90" s="54" t="n"/>
      <c r="M90" s="54" t="n"/>
      <c r="N90" s="54" t="n"/>
      <c r="O90" s="54" t="n"/>
      <c r="P90" s="54" t="n"/>
      <c r="Q90" s="54" t="n"/>
    </row>
    <row r="91">
      <c r="A91" s="54" t="n"/>
      <c r="B91" s="54" t="n"/>
      <c r="C91" s="54" t="n"/>
      <c r="D91" s="54" t="n"/>
      <c r="E91" s="54" t="n"/>
      <c r="F91" s="54" t="n"/>
      <c r="G91" s="54" t="n"/>
      <c r="H91" s="54" t="n"/>
      <c r="I91" s="54" t="n"/>
      <c r="J91" s="54" t="n"/>
      <c r="K91" s="54" t="n"/>
      <c r="L91" s="54" t="n"/>
      <c r="M91" s="54" t="n"/>
      <c r="N91" s="54" t="n"/>
      <c r="O91" s="54" t="n"/>
      <c r="P91" s="54" t="n"/>
      <c r="Q91" s="54" t="n"/>
    </row>
    <row r="92">
      <c r="A92" s="54" t="n"/>
      <c r="B92" s="54" t="n"/>
      <c r="C92" s="54" t="n"/>
      <c r="D92" s="54" t="n"/>
      <c r="E92" s="54" t="n"/>
      <c r="F92" s="54" t="n"/>
      <c r="G92" s="54" t="n"/>
      <c r="H92" s="54" t="n"/>
      <c r="I92" s="54" t="n"/>
      <c r="J92" s="54" t="n"/>
      <c r="K92" s="54" t="n"/>
      <c r="L92" s="54" t="n"/>
      <c r="M92" s="54" t="n"/>
      <c r="N92" s="54" t="n"/>
      <c r="O92" s="54" t="n"/>
      <c r="P92" s="54" t="n"/>
      <c r="Q92" s="54" t="n"/>
    </row>
    <row r="93">
      <c r="A93" s="54" t="n"/>
      <c r="B93" s="54" t="n"/>
      <c r="C93" s="54" t="n"/>
      <c r="D93" s="54" t="n"/>
      <c r="E93" s="54" t="n"/>
      <c r="F93" s="54" t="n"/>
      <c r="G93" s="54" t="n"/>
      <c r="H93" s="54" t="n"/>
      <c r="I93" s="54" t="n"/>
      <c r="J93" s="54" t="n"/>
      <c r="K93" s="54" t="n"/>
      <c r="L93" s="54" t="n"/>
      <c r="M93" s="54" t="n"/>
      <c r="N93" s="54" t="n"/>
      <c r="O93" s="54" t="n"/>
      <c r="P93" s="54" t="n"/>
      <c r="Q93" s="54" t="n"/>
    </row>
    <row r="94">
      <c r="A94" s="54" t="n"/>
      <c r="B94" s="54" t="n"/>
      <c r="C94" s="54" t="n"/>
      <c r="D94" s="54" t="n"/>
      <c r="E94" s="54" t="n"/>
      <c r="F94" s="54" t="n"/>
      <c r="G94" s="54" t="n"/>
      <c r="H94" s="54" t="n"/>
      <c r="I94" s="54" t="n"/>
      <c r="J94" s="54" t="n"/>
      <c r="K94" s="54" t="n"/>
      <c r="L94" s="54" t="n"/>
      <c r="M94" s="54" t="n"/>
      <c r="N94" s="54" t="n"/>
      <c r="O94" s="54" t="n"/>
      <c r="P94" s="54" t="n"/>
      <c r="Q94" s="54" t="n"/>
    </row>
    <row r="95">
      <c r="A95" s="54" t="n"/>
      <c r="B95" s="54" t="n"/>
      <c r="C95" s="54" t="n"/>
      <c r="D95" s="54" t="n"/>
      <c r="E95" s="54" t="n"/>
      <c r="F95" s="54" t="n"/>
      <c r="G95" s="54" t="n"/>
      <c r="H95" s="54" t="n"/>
      <c r="I95" s="54" t="n"/>
      <c r="J95" s="54" t="n"/>
      <c r="K95" s="54" t="n"/>
      <c r="L95" s="54" t="n"/>
      <c r="M95" s="54" t="n"/>
      <c r="N95" s="54" t="n"/>
      <c r="O95" s="54" t="n"/>
      <c r="P95" s="54" t="n"/>
      <c r="Q95" s="54" t="n"/>
    </row>
    <row r="96">
      <c r="A96" s="54" t="n"/>
      <c r="B96" s="54" t="n"/>
      <c r="C96" s="54" t="n"/>
      <c r="D96" s="54" t="n"/>
      <c r="E96" s="54" t="n"/>
      <c r="F96" s="54" t="n"/>
      <c r="G96" s="54" t="n"/>
      <c r="H96" s="54" t="n"/>
      <c r="I96" s="54" t="n"/>
      <c r="J96" s="54" t="n"/>
      <c r="K96" s="54" t="n"/>
      <c r="L96" s="54" t="n"/>
      <c r="M96" s="54" t="n"/>
      <c r="N96" s="54" t="n"/>
      <c r="O96" s="54" t="n"/>
      <c r="P96" s="54" t="n"/>
      <c r="Q96" s="54" t="n"/>
    </row>
    <row r="97">
      <c r="A97" s="54" t="n"/>
      <c r="B97" s="54" t="n"/>
      <c r="C97" s="54" t="n"/>
      <c r="D97" s="54" t="n"/>
      <c r="E97" s="54" t="n"/>
      <c r="F97" s="54" t="n"/>
      <c r="G97" s="54" t="n"/>
      <c r="H97" s="54" t="n"/>
      <c r="I97" s="54" t="n"/>
      <c r="J97" s="54" t="n"/>
      <c r="K97" s="54" t="n"/>
      <c r="L97" s="54" t="n"/>
      <c r="M97" s="54" t="n"/>
      <c r="N97" s="54" t="n"/>
      <c r="O97" s="54" t="n"/>
      <c r="P97" s="54" t="n"/>
      <c r="Q97" s="54" t="n"/>
    </row>
    <row r="98">
      <c r="A98" s="54" t="n"/>
      <c r="B98" s="54" t="n"/>
      <c r="C98" s="54" t="n"/>
      <c r="D98" s="54" t="n"/>
      <c r="E98" s="54" t="n"/>
      <c r="F98" s="54" t="n"/>
      <c r="G98" s="54" t="n"/>
      <c r="H98" s="54" t="n"/>
      <c r="I98" s="54" t="n"/>
      <c r="J98" s="54" t="n"/>
      <c r="K98" s="54" t="n"/>
      <c r="L98" s="54" t="n"/>
      <c r="M98" s="54" t="n"/>
      <c r="N98" s="54" t="n"/>
      <c r="O98" s="54" t="n"/>
      <c r="P98" s="54" t="n"/>
      <c r="Q98" s="54" t="n"/>
    </row>
    <row r="99">
      <c r="A99" s="54" t="n"/>
      <c r="B99" s="54" t="n"/>
      <c r="C99" s="54" t="n"/>
      <c r="D99" s="54" t="n"/>
      <c r="E99" s="54" t="n"/>
      <c r="F99" s="54" t="n"/>
      <c r="G99" s="54" t="n"/>
      <c r="H99" s="54" t="n"/>
      <c r="I99" s="54" t="n"/>
      <c r="J99" s="54" t="n"/>
      <c r="K99" s="54" t="n"/>
      <c r="L99" s="54" t="n"/>
      <c r="M99" s="54" t="n"/>
      <c r="N99" s="54" t="n"/>
      <c r="O99" s="54" t="n"/>
      <c r="P99" s="54" t="n"/>
      <c r="Q99" s="54" t="n"/>
    </row>
    <row r="100">
      <c r="A100" s="54" t="n"/>
      <c r="B100" s="54" t="n"/>
      <c r="C100" s="54" t="n"/>
      <c r="D100" s="54" t="n"/>
      <c r="E100" s="54" t="n"/>
      <c r="F100" s="54" t="n"/>
      <c r="G100" s="54" t="n"/>
      <c r="H100" s="54" t="n"/>
      <c r="I100" s="54" t="n"/>
      <c r="J100" s="54" t="n"/>
      <c r="K100" s="54" t="n"/>
      <c r="L100" s="54" t="n"/>
      <c r="M100" s="54" t="n"/>
      <c r="N100" s="54" t="n"/>
      <c r="O100" s="54" t="n"/>
      <c r="P100" s="54" t="n"/>
      <c r="Q100" s="54" t="n"/>
    </row>
    <row r="101">
      <c r="A101" s="54" t="n"/>
      <c r="B101" s="54" t="n"/>
      <c r="C101" s="54" t="n"/>
      <c r="D101" s="54" t="n"/>
      <c r="E101" s="54" t="n"/>
      <c r="F101" s="54" t="n"/>
      <c r="G101" s="54" t="n"/>
      <c r="H101" s="54" t="n"/>
      <c r="I101" s="54" t="n"/>
      <c r="J101" s="54" t="n"/>
      <c r="K101" s="54" t="n"/>
      <c r="L101" s="54" t="n"/>
      <c r="M101" s="54" t="n"/>
      <c r="N101" s="54" t="n"/>
      <c r="O101" s="54" t="n"/>
      <c r="P101" s="54" t="n"/>
      <c r="Q101" s="54" t="n"/>
    </row>
    <row r="102">
      <c r="A102" s="54" t="n"/>
      <c r="B102" s="54" t="n"/>
      <c r="C102" s="54" t="n"/>
      <c r="D102" s="54" t="n"/>
      <c r="E102" s="54" t="n"/>
      <c r="F102" s="54" t="n"/>
      <c r="G102" s="54" t="n"/>
      <c r="H102" s="54" t="n"/>
      <c r="I102" s="54" t="n"/>
      <c r="J102" s="54" t="n"/>
      <c r="K102" s="54" t="n"/>
      <c r="L102" s="54" t="n"/>
      <c r="M102" s="54" t="n"/>
      <c r="N102" s="54" t="n"/>
      <c r="O102" s="54" t="n"/>
      <c r="P102" s="54" t="n"/>
      <c r="Q102" s="54" t="n"/>
    </row>
    <row r="103">
      <c r="A103" s="54" t="n"/>
      <c r="B103" s="54" t="n"/>
      <c r="C103" s="54" t="n"/>
      <c r="D103" s="54" t="n"/>
      <c r="E103" s="54" t="n"/>
      <c r="F103" s="54" t="n"/>
      <c r="G103" s="54" t="n"/>
      <c r="H103" s="54" t="n"/>
      <c r="I103" s="54" t="n"/>
      <c r="J103" s="54" t="n"/>
      <c r="K103" s="54" t="n"/>
      <c r="L103" s="54" t="n"/>
      <c r="M103" s="54" t="n"/>
      <c r="N103" s="54" t="n"/>
      <c r="O103" s="54" t="n"/>
      <c r="P103" s="54" t="n"/>
      <c r="Q103" s="54" t="n"/>
    </row>
    <row r="104">
      <c r="A104" s="54" t="n"/>
      <c r="B104" s="54" t="n"/>
      <c r="C104" s="54" t="n"/>
      <c r="D104" s="54" t="n"/>
      <c r="E104" s="54" t="n"/>
      <c r="F104" s="54" t="n"/>
      <c r="G104" s="54" t="n"/>
      <c r="H104" s="54" t="n"/>
      <c r="I104" s="54" t="n"/>
      <c r="J104" s="54" t="n"/>
      <c r="K104" s="54" t="n"/>
      <c r="L104" s="54" t="n"/>
      <c r="M104" s="54" t="n"/>
      <c r="N104" s="54" t="n"/>
      <c r="O104" s="54" t="n"/>
      <c r="P104" s="54" t="n"/>
      <c r="Q104" s="54" t="n"/>
    </row>
    <row r="105">
      <c r="A105" s="54" t="n"/>
      <c r="B105" s="54" t="n"/>
      <c r="C105" s="54" t="n"/>
      <c r="D105" s="54" t="n"/>
      <c r="E105" s="54" t="n"/>
      <c r="F105" s="54" t="n"/>
      <c r="G105" s="54" t="n"/>
      <c r="H105" s="54" t="n"/>
      <c r="I105" s="54" t="n"/>
      <c r="J105" s="54" t="n"/>
      <c r="K105" s="54" t="n"/>
      <c r="L105" s="54" t="n"/>
      <c r="M105" s="54" t="n"/>
      <c r="N105" s="54" t="n"/>
      <c r="O105" s="54" t="n"/>
      <c r="P105" s="54" t="n"/>
      <c r="Q105" s="54" t="n"/>
    </row>
    <row r="106">
      <c r="A106" s="54" t="n"/>
      <c r="B106" s="54" t="n"/>
      <c r="C106" s="54" t="n"/>
      <c r="D106" s="54" t="n"/>
      <c r="E106" s="54" t="n"/>
      <c r="F106" s="54" t="n"/>
      <c r="G106" s="54" t="n"/>
      <c r="H106" s="54" t="n"/>
      <c r="I106" s="54" t="n"/>
      <c r="J106" s="54" t="n"/>
      <c r="K106" s="54" t="n"/>
      <c r="L106" s="54" t="n"/>
      <c r="M106" s="54" t="n"/>
      <c r="N106" s="54" t="n"/>
      <c r="O106" s="54" t="n"/>
      <c r="P106" s="54" t="n"/>
      <c r="Q106" s="54" t="n"/>
    </row>
    <row r="107">
      <c r="A107" s="54" t="n"/>
      <c r="B107" s="54" t="n"/>
      <c r="C107" s="54" t="n"/>
      <c r="D107" s="54" t="n"/>
      <c r="E107" s="54" t="n"/>
      <c r="F107" s="54" t="n"/>
      <c r="G107" s="54" t="n"/>
      <c r="H107" s="54" t="n"/>
      <c r="I107" s="54" t="n"/>
      <c r="J107" s="54" t="n"/>
      <c r="K107" s="54" t="n"/>
      <c r="L107" s="54" t="n"/>
      <c r="M107" s="54" t="n"/>
      <c r="N107" s="54" t="n"/>
      <c r="O107" s="54" t="n"/>
      <c r="P107" s="54" t="n"/>
      <c r="Q107" s="54" t="n"/>
    </row>
    <row r="108">
      <c r="A108" s="54" t="n"/>
      <c r="B108" s="54" t="n"/>
      <c r="C108" s="54" t="n"/>
      <c r="D108" s="54" t="n"/>
      <c r="E108" s="54" t="n"/>
      <c r="F108" s="54" t="n"/>
      <c r="G108" s="54" t="n"/>
      <c r="H108" s="54" t="n"/>
      <c r="I108" s="54" t="n"/>
      <c r="J108" s="54" t="n"/>
      <c r="K108" s="54" t="n"/>
      <c r="L108" s="54" t="n"/>
      <c r="M108" s="54" t="n"/>
      <c r="N108" s="54" t="n"/>
      <c r="O108" s="54" t="n"/>
      <c r="P108" s="54" t="n"/>
      <c r="Q108" s="54" t="n"/>
    </row>
    <row r="109">
      <c r="A109" s="54" t="n"/>
      <c r="B109" s="54" t="n"/>
      <c r="C109" s="54" t="n"/>
      <c r="D109" s="54" t="n"/>
      <c r="E109" s="54" t="n"/>
      <c r="F109" s="54" t="n"/>
      <c r="G109" s="54" t="n"/>
      <c r="H109" s="54" t="n"/>
      <c r="I109" s="54" t="n"/>
      <c r="J109" s="54" t="n"/>
      <c r="K109" s="54" t="n"/>
      <c r="L109" s="54" t="n"/>
      <c r="M109" s="54" t="n"/>
      <c r="N109" s="54" t="n"/>
      <c r="O109" s="54" t="n"/>
      <c r="P109" s="54" t="n"/>
      <c r="Q109" s="54" t="n"/>
    </row>
    <row r="110">
      <c r="A110" s="54" t="n"/>
      <c r="B110" s="54" t="n"/>
      <c r="C110" s="54" t="n"/>
      <c r="D110" s="54" t="n"/>
      <c r="E110" s="54" t="n"/>
      <c r="F110" s="54" t="n"/>
      <c r="G110" s="54" t="n"/>
      <c r="H110" s="54" t="n"/>
      <c r="I110" s="54" t="n"/>
      <c r="J110" s="54" t="n"/>
      <c r="K110" s="54" t="n"/>
      <c r="L110" s="54" t="n"/>
      <c r="M110" s="54" t="n"/>
      <c r="N110" s="54" t="n"/>
      <c r="O110" s="54" t="n"/>
      <c r="P110" s="54" t="n"/>
      <c r="Q110" s="54" t="n"/>
    </row>
    <row r="111">
      <c r="A111" s="54" t="n"/>
      <c r="B111" s="54" t="n"/>
      <c r="C111" s="54" t="n"/>
      <c r="D111" s="54" t="n"/>
      <c r="E111" s="54" t="n"/>
      <c r="F111" s="54" t="n"/>
      <c r="G111" s="54" t="n"/>
      <c r="H111" s="54" t="n"/>
      <c r="I111" s="54" t="n"/>
      <c r="J111" s="54" t="n"/>
      <c r="K111" s="54" t="n"/>
      <c r="L111" s="54" t="n"/>
      <c r="M111" s="54" t="n"/>
      <c r="N111" s="54" t="n"/>
      <c r="O111" s="54" t="n"/>
      <c r="P111" s="54" t="n"/>
      <c r="Q111" s="54" t="n"/>
    </row>
    <row r="112">
      <c r="A112" s="54" t="n"/>
      <c r="B112" s="54" t="n"/>
      <c r="C112" s="54" t="n"/>
      <c r="D112" s="54" t="n"/>
      <c r="E112" s="54" t="n"/>
      <c r="F112" s="54" t="n"/>
      <c r="G112" s="54" t="n"/>
      <c r="H112" s="54" t="n"/>
      <c r="I112" s="54" t="n"/>
      <c r="J112" s="54" t="n"/>
      <c r="K112" s="54" t="n"/>
      <c r="L112" s="54" t="n"/>
      <c r="M112" s="54" t="n"/>
      <c r="N112" s="54" t="n"/>
      <c r="O112" s="54" t="n"/>
      <c r="P112" s="54" t="n"/>
      <c r="Q112" s="54" t="n"/>
    </row>
    <row r="113">
      <c r="A113" s="54" t="n"/>
      <c r="B113" s="54" t="n"/>
      <c r="C113" s="54" t="n"/>
      <c r="D113" s="54" t="n"/>
      <c r="E113" s="54" t="n"/>
      <c r="F113" s="54" t="n"/>
      <c r="G113" s="54" t="n"/>
      <c r="H113" s="54" t="n"/>
      <c r="I113" s="54" t="n"/>
      <c r="J113" s="54" t="n"/>
      <c r="K113" s="54" t="n"/>
      <c r="L113" s="54" t="n"/>
      <c r="M113" s="54" t="n"/>
      <c r="N113" s="54" t="n"/>
      <c r="O113" s="54" t="n"/>
      <c r="P113" s="54" t="n"/>
      <c r="Q113" s="54" t="n"/>
    </row>
    <row r="114">
      <c r="A114" s="54" t="n"/>
      <c r="B114" s="54" t="n"/>
      <c r="C114" s="54" t="n"/>
      <c r="D114" s="54" t="n"/>
      <c r="E114" s="54" t="n"/>
      <c r="F114" s="54" t="n"/>
      <c r="G114" s="54" t="n"/>
      <c r="H114" s="54" t="n"/>
      <c r="I114" s="54" t="n"/>
      <c r="J114" s="54" t="n"/>
      <c r="K114" s="54" t="n"/>
      <c r="L114" s="54" t="n"/>
      <c r="M114" s="54" t="n"/>
      <c r="N114" s="54" t="n"/>
      <c r="O114" s="54" t="n"/>
      <c r="P114" s="54" t="n"/>
      <c r="Q114" s="54" t="n"/>
    </row>
    <row r="115">
      <c r="A115" s="54" t="n"/>
      <c r="B115" s="54" t="n"/>
      <c r="C115" s="54" t="n"/>
      <c r="D115" s="54" t="n"/>
      <c r="E115" s="54" t="n"/>
      <c r="F115" s="54" t="n"/>
      <c r="G115" s="54" t="n"/>
      <c r="H115" s="54" t="n"/>
      <c r="I115" s="54" t="n"/>
      <c r="J115" s="54" t="n"/>
      <c r="K115" s="54" t="n"/>
      <c r="L115" s="54" t="n"/>
      <c r="M115" s="54" t="n"/>
      <c r="N115" s="54" t="n"/>
      <c r="O115" s="54" t="n"/>
      <c r="P115" s="54" t="n"/>
      <c r="Q115" s="54" t="n"/>
    </row>
    <row r="116">
      <c r="A116" s="54" t="n"/>
      <c r="B116" s="54" t="n"/>
      <c r="C116" s="54" t="n"/>
      <c r="D116" s="54" t="n"/>
      <c r="E116" s="54" t="n"/>
      <c r="F116" s="54" t="n"/>
      <c r="G116" s="54" t="n"/>
      <c r="H116" s="54" t="n"/>
      <c r="I116" s="54" t="n"/>
      <c r="J116" s="54" t="n"/>
      <c r="K116" s="54" t="n"/>
      <c r="L116" s="54" t="n"/>
      <c r="M116" s="54" t="n"/>
      <c r="N116" s="54" t="n"/>
      <c r="O116" s="54" t="n"/>
      <c r="P116" s="54" t="n"/>
      <c r="Q116" s="54" t="n"/>
    </row>
    <row r="117">
      <c r="A117" s="54" t="n"/>
      <c r="B117" s="54" t="n"/>
      <c r="C117" s="54" t="n"/>
      <c r="D117" s="54" t="n"/>
      <c r="E117" s="54" t="n"/>
      <c r="F117" s="54" t="n"/>
      <c r="G117" s="54" t="n"/>
      <c r="H117" s="54" t="n"/>
      <c r="I117" s="54" t="n"/>
      <c r="J117" s="54" t="n"/>
      <c r="K117" s="54" t="n"/>
      <c r="L117" s="54" t="n"/>
      <c r="M117" s="54" t="n"/>
      <c r="N117" s="54" t="n"/>
      <c r="O117" s="54" t="n"/>
      <c r="P117" s="54" t="n"/>
      <c r="Q117" s="54" t="n"/>
    </row>
    <row r="118">
      <c r="A118" s="54" t="n"/>
      <c r="B118" s="54" t="n"/>
      <c r="C118" s="54" t="n"/>
      <c r="D118" s="54" t="n"/>
      <c r="E118" s="54" t="n"/>
      <c r="F118" s="54" t="n"/>
      <c r="G118" s="54" t="n"/>
      <c r="H118" s="54" t="n"/>
      <c r="I118" s="54" t="n"/>
      <c r="J118" s="54" t="n"/>
      <c r="K118" s="54" t="n"/>
      <c r="L118" s="54" t="n"/>
      <c r="M118" s="54" t="n"/>
      <c r="N118" s="54" t="n"/>
      <c r="O118" s="54" t="n"/>
      <c r="P118" s="54" t="n"/>
      <c r="Q118" s="54" t="n"/>
    </row>
    <row r="119">
      <c r="A119" s="54" t="n"/>
      <c r="B119" s="54" t="n"/>
      <c r="C119" s="54" t="n"/>
      <c r="D119" s="54" t="n"/>
      <c r="E119" s="54" t="n"/>
      <c r="F119" s="54" t="n"/>
      <c r="G119" s="54" t="n"/>
      <c r="H119" s="54" t="n"/>
      <c r="I119" s="54" t="n"/>
      <c r="J119" s="54" t="n"/>
      <c r="K119" s="54" t="n"/>
      <c r="L119" s="54" t="n"/>
      <c r="M119" s="54" t="n"/>
      <c r="N119" s="54" t="n"/>
      <c r="O119" s="54" t="n"/>
      <c r="P119" s="54" t="n"/>
      <c r="Q119" s="54" t="n"/>
    </row>
    <row r="120">
      <c r="A120" s="54" t="n"/>
      <c r="B120" s="54" t="n"/>
      <c r="C120" s="54" t="n"/>
      <c r="D120" s="54" t="n"/>
      <c r="E120" s="54" t="n"/>
      <c r="F120" s="54" t="n"/>
      <c r="G120" s="54" t="n"/>
      <c r="H120" s="54" t="n"/>
      <c r="I120" s="54" t="n"/>
      <c r="J120" s="54" t="n"/>
      <c r="K120" s="54" t="n"/>
      <c r="L120" s="54" t="n"/>
      <c r="M120" s="54" t="n"/>
      <c r="N120" s="54" t="n"/>
      <c r="O120" s="54" t="n"/>
      <c r="P120" s="54" t="n"/>
      <c r="Q120" s="54" t="n"/>
    </row>
  </sheetData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20"/>
  <sheetViews>
    <sheetView workbookViewId="0">
      <selection activeCell="A1" sqref="A1"/>
    </sheetView>
  </sheetViews>
  <sheetFormatPr baseColWidth="8" defaultRowHeight="15"/>
  <cols>
    <col width="10.5600004196167" customWidth="1" min="1" max="1"/>
    <col width="16.67000007629395" customWidth="1" min="2" max="2"/>
    <col width="10.5600004196167" customWidth="1" min="3" max="3"/>
    <col width="7.78000020980835" customWidth="1" min="4" max="4"/>
    <col width="18.88999938964844" customWidth="1" min="5" max="5"/>
    <col width="34.43999862670898" customWidth="1" min="6" max="6"/>
    <col width="36.66999816894531" customWidth="1" min="7" max="7"/>
    <col width="12.22000026702881" customWidth="1" min="8" max="8"/>
    <col width="8.890000343322754" customWidth="1" min="9" max="9"/>
    <col width="10" customWidth="1" min="10" max="10"/>
    <col width="8.890000343322754" customWidth="1" min="11" max="11"/>
    <col width="10.5600004196167" customWidth="1" min="12" max="12"/>
    <col width="10.5600004196167" customWidth="1" min="13" max="13"/>
    <col width="21.11000061035156" customWidth="1" min="14" max="14"/>
    <col width="10.5600004196167" customWidth="1" min="15" max="15"/>
    <col width="10.5600004196167" customWidth="1" min="16" max="16"/>
    <col width="24.44000053405762" customWidth="1" min="17" max="17"/>
  </cols>
  <sheetData>
    <row r="1">
      <c r="A1" s="53" t="inlineStr">
        <is>
          <t>raw_signals</t>
        </is>
      </c>
      <c r="B1" s="54" t="n"/>
      <c r="C1" s="54" t="n"/>
      <c r="D1" s="54" t="n"/>
      <c r="E1" s="54" t="n"/>
      <c r="F1" s="54" t="n"/>
      <c r="G1" s="54" t="n"/>
      <c r="H1" s="54" t="n"/>
      <c r="I1" s="54" t="n"/>
      <c r="J1" s="54" t="n"/>
      <c r="K1" s="54" t="n"/>
      <c r="L1" s="54" t="n"/>
      <c r="M1" s="54" t="n"/>
      <c r="N1" s="54" t="n"/>
      <c r="O1" s="54" t="n"/>
      <c r="P1" s="54" t="n"/>
      <c r="Q1" s="54" t="n"/>
    </row>
    <row r="2">
      <c r="A2" s="55" t="inlineStr">
        <is>
          <t>逐条记录公开社媒/趋势信号。只保留公开链接、聚合指标和必要文本摘要。</t>
        </is>
      </c>
      <c r="B2" s="54" t="n"/>
      <c r="C2" s="54" t="n"/>
      <c r="D2" s="54" t="n"/>
      <c r="E2" s="54" t="n"/>
      <c r="F2" s="54" t="n"/>
      <c r="G2" s="54" t="n"/>
      <c r="H2" s="54" t="n"/>
      <c r="I2" s="54" t="n"/>
      <c r="J2" s="54" t="n"/>
      <c r="K2" s="54" t="n"/>
      <c r="L2" s="54" t="n"/>
      <c r="M2" s="54" t="n"/>
      <c r="N2" s="54" t="n"/>
      <c r="O2" s="54" t="n"/>
      <c r="P2" s="54" t="n"/>
      <c r="Q2" s="54" t="n"/>
    </row>
    <row r="3">
      <c r="A3" s="54" t="n"/>
      <c r="B3" s="54" t="n"/>
      <c r="C3" s="54" t="n"/>
      <c r="D3" s="54" t="n"/>
      <c r="E3" s="54" t="n"/>
      <c r="F3" s="54" t="n"/>
      <c r="G3" s="54" t="n"/>
      <c r="H3" s="54" t="n"/>
      <c r="I3" s="54" t="n"/>
      <c r="J3" s="54" t="n"/>
      <c r="K3" s="54" t="n"/>
      <c r="L3" s="54" t="n"/>
      <c r="M3" s="54" t="n"/>
      <c r="N3" s="54" t="n"/>
      <c r="O3" s="54" t="n"/>
      <c r="P3" s="54" t="n"/>
      <c r="Q3" s="54" t="n"/>
    </row>
    <row r="4">
      <c r="A4" s="56" t="inlineStr">
        <is>
          <t>date</t>
        </is>
      </c>
      <c r="B4" s="57" t="inlineStr">
        <is>
          <t>source_platform</t>
        </is>
      </c>
      <c r="C4" s="57" t="inlineStr">
        <is>
          <t>country_region</t>
        </is>
      </c>
      <c r="D4" s="57" t="inlineStr">
        <is>
          <t>language</t>
        </is>
      </c>
      <c r="E4" s="57" t="inlineStr">
        <is>
          <t>keyword_or_hashtag</t>
        </is>
      </c>
      <c r="F4" s="57" t="inlineStr">
        <is>
          <t>post_title_or_caption</t>
        </is>
      </c>
      <c r="G4" s="57" t="inlineStr">
        <is>
          <t>url</t>
        </is>
      </c>
      <c r="H4" s="57" t="inlineStr">
        <is>
          <t>views_or_rank</t>
        </is>
      </c>
      <c r="I4" s="57" t="inlineStr">
        <is>
          <t>likes</t>
        </is>
      </c>
      <c r="J4" s="57" t="inlineStr">
        <is>
          <t>comments</t>
        </is>
      </c>
      <c r="K4" s="57" t="inlineStr">
        <is>
          <t>shares</t>
        </is>
      </c>
      <c r="L4" s="57" t="inlineStr">
        <is>
          <t>trend_window</t>
        </is>
      </c>
      <c r="M4" s="57" t="inlineStr">
        <is>
          <t>sentiment</t>
        </is>
      </c>
      <c r="N4" s="57" t="inlineStr">
        <is>
          <t>emotion_tags</t>
        </is>
      </c>
      <c r="O4" s="57" t="inlineStr">
        <is>
          <t>evidence_level</t>
        </is>
      </c>
      <c r="P4" s="57" t="inlineStr">
        <is>
          <t>last_checked</t>
        </is>
      </c>
      <c r="Q4" s="58" t="inlineStr">
        <is>
          <t>notes</t>
        </is>
      </c>
    </row>
    <row r="5">
      <c r="A5" s="59" t="n">
        <v>46182</v>
      </c>
      <c r="B5" s="39" t="inlineStr">
        <is>
          <t>Google Trends</t>
        </is>
      </c>
      <c r="C5" s="39" t="inlineStr">
        <is>
          <t>US</t>
        </is>
      </c>
      <c r="D5" s="39" t="inlineStr">
        <is>
          <t>EN</t>
        </is>
      </c>
      <c r="E5" s="39" t="inlineStr">
        <is>
          <t>single mom comeback</t>
        </is>
      </c>
      <c r="F5" s="39" t="inlineStr">
        <is>
          <t>Search interest around single mom success / revenge narratives</t>
        </is>
      </c>
      <c r="G5" s="39" t="inlineStr">
        <is>
          <t>https://trends.google.com/trends/trendingsearches/daily?geo=US</t>
        </is>
      </c>
      <c r="H5" s="39" t="inlineStr">
        <is>
          <t>rank/watch</t>
        </is>
      </c>
      <c r="I5" s="39" t="n"/>
      <c r="J5" s="39" t="n"/>
      <c r="K5" s="39" t="n"/>
      <c r="L5" s="39" t="inlineStr">
        <is>
          <t>7d</t>
        </is>
      </c>
      <c r="M5" s="39" t="inlineStr">
        <is>
          <t>positive</t>
        </is>
      </c>
      <c r="N5" s="39" t="inlineStr">
        <is>
          <t>resilience,revenge,empathy</t>
        </is>
      </c>
      <c r="O5" s="39" t="inlineStr">
        <is>
          <t>B</t>
        </is>
      </c>
      <c r="P5" s="60" t="n">
        <v>46182</v>
      </c>
      <c r="Q5" s="40" t="inlineStr">
        <is>
          <t>泛热点，需二次核验</t>
        </is>
      </c>
    </row>
    <row r="6">
      <c r="A6" s="61" t="n">
        <v>46182</v>
      </c>
      <c r="B6" s="42" t="inlineStr">
        <is>
          <t>TikTok Creative Center</t>
        </is>
      </c>
      <c r="C6" s="42" t="inlineStr">
        <is>
          <t>US</t>
        </is>
      </c>
      <c r="D6" s="42" t="inlineStr">
        <is>
          <t>EN</t>
        </is>
      </c>
      <c r="E6" s="42" t="inlineStr">
        <is>
          <t>#cheatingstory</t>
        </is>
      </c>
      <c r="F6" s="42" t="inlineStr">
        <is>
          <t>Relationship betrayal storytime hooks and confession-style videos</t>
        </is>
      </c>
      <c r="G6" s="42" t="inlineStr">
        <is>
          <t>https://ads.tiktok.com/business/creativecenter/inspiration/popular/hashtag</t>
        </is>
      </c>
      <c r="H6" s="42" t="inlineStr">
        <is>
          <t>rank/watch</t>
        </is>
      </c>
      <c r="I6" s="42" t="n"/>
      <c r="J6" s="42" t="n"/>
      <c r="K6" s="42" t="n"/>
      <c r="L6" s="42" t="inlineStr">
        <is>
          <t>7d</t>
        </is>
      </c>
      <c r="M6" s="42" t="inlineStr">
        <is>
          <t>negative</t>
        </is>
      </c>
      <c r="N6" s="42" t="inlineStr">
        <is>
          <t>anger,betrayal,curiosity</t>
        </is>
      </c>
      <c r="O6" s="42" t="inlineStr">
        <is>
          <t>B</t>
        </is>
      </c>
      <c r="P6" s="62" t="n">
        <v>46182</v>
      </c>
      <c r="Q6" s="43" t="inlineStr">
        <is>
          <t>适合情感背叛/复仇爽感</t>
        </is>
      </c>
    </row>
    <row r="7">
      <c r="A7" s="61" t="n">
        <v>46182</v>
      </c>
      <c r="B7" s="42" t="inlineStr">
        <is>
          <t>Reddit</t>
        </is>
      </c>
      <c r="C7" s="42" t="inlineStr">
        <is>
          <t>US</t>
        </is>
      </c>
      <c r="D7" s="42" t="inlineStr">
        <is>
          <t>EN</t>
        </is>
      </c>
      <c r="E7" s="42" t="inlineStr">
        <is>
          <t>toxic relationship</t>
        </is>
      </c>
      <c r="F7" s="42" t="inlineStr">
        <is>
          <t>Advice threads around emotional manipulation and breakup recovery</t>
        </is>
      </c>
      <c r="G7" s="42" t="inlineStr">
        <is>
          <t>https://www.reddit.com/search/?q=toxic%20relationship</t>
        </is>
      </c>
      <c r="H7" s="42" t="inlineStr">
        <is>
          <t>score/comments</t>
        </is>
      </c>
      <c r="I7" s="42" t="n"/>
      <c r="J7" s="42" t="n"/>
      <c r="K7" s="42" t="n"/>
      <c r="L7" s="42" t="inlineStr">
        <is>
          <t>7d</t>
        </is>
      </c>
      <c r="M7" s="42" t="inlineStr">
        <is>
          <t>negative</t>
        </is>
      </c>
      <c r="N7" s="42" t="inlineStr">
        <is>
          <t>anger,fear,healing</t>
        </is>
      </c>
      <c r="O7" s="42" t="inlineStr">
        <is>
          <t>B</t>
        </is>
      </c>
      <c r="P7" s="62" t="n">
        <v>46182</v>
      </c>
      <c r="Q7" s="43" t="inlineStr">
        <is>
          <t>只采公开帖摘要</t>
        </is>
      </c>
    </row>
    <row r="8">
      <c r="A8" s="61" t="n">
        <v>46182</v>
      </c>
      <c r="B8" s="42" t="inlineStr">
        <is>
          <t>YouTube</t>
        </is>
      </c>
      <c r="C8" s="42" t="inlineStr">
        <is>
          <t>US</t>
        </is>
      </c>
      <c r="D8" s="42" t="inlineStr">
        <is>
          <t>EN</t>
        </is>
      </c>
      <c r="E8" s="42" t="inlineStr">
        <is>
          <t>workplace drama</t>
        </is>
      </c>
      <c r="F8" s="42" t="inlineStr">
        <is>
          <t>Trending workplace conflict / unfair boss narratives</t>
        </is>
      </c>
      <c r="G8" s="42" t="inlineStr">
        <is>
          <t>https://www.youtube.com/feed/trending</t>
        </is>
      </c>
      <c r="H8" s="42" t="inlineStr">
        <is>
          <t>rank/watch</t>
        </is>
      </c>
      <c r="I8" s="42" t="n"/>
      <c r="J8" s="42" t="n"/>
      <c r="K8" s="42" t="n"/>
      <c r="L8" s="42" t="inlineStr">
        <is>
          <t>7d</t>
        </is>
      </c>
      <c r="M8" s="42" t="inlineStr">
        <is>
          <t>mixed</t>
        </is>
      </c>
      <c r="N8" s="42" t="inlineStr">
        <is>
          <t>frustration,justice</t>
        </is>
      </c>
      <c r="O8" s="42" t="inlineStr">
        <is>
          <t>B</t>
        </is>
      </c>
      <c r="P8" s="62" t="n">
        <v>46182</v>
      </c>
      <c r="Q8" s="43" t="inlineStr">
        <is>
          <t>职场压迫和逆袭可转化</t>
        </is>
      </c>
    </row>
    <row r="9">
      <c r="A9" s="61" t="n">
        <v>46182</v>
      </c>
      <c r="B9" s="42" t="inlineStr">
        <is>
          <t>TikTok Creative Center</t>
        </is>
      </c>
      <c r="C9" s="42" t="inlineStr">
        <is>
          <t>UK</t>
        </is>
      </c>
      <c r="D9" s="42" t="inlineStr">
        <is>
          <t>EN</t>
        </is>
      </c>
      <c r="E9" s="42" t="inlineStr">
        <is>
          <t>mafia romance</t>
        </is>
      </c>
      <c r="F9" s="42" t="inlineStr">
        <is>
          <t>Romance fantasy hooks with danger / forbidden-love framing</t>
        </is>
      </c>
      <c r="G9" s="42" t="inlineStr">
        <is>
          <t>https://ads.tiktok.com/business/creativecenter/inspiration/popular/hashtag</t>
        </is>
      </c>
      <c r="H9" s="42" t="inlineStr">
        <is>
          <t>rank/watch</t>
        </is>
      </c>
      <c r="I9" s="42" t="n"/>
      <c r="J9" s="42" t="n"/>
      <c r="K9" s="42" t="n"/>
      <c r="L9" s="42" t="inlineStr">
        <is>
          <t>7d</t>
        </is>
      </c>
      <c r="M9" s="42" t="inlineStr">
        <is>
          <t>mixed</t>
        </is>
      </c>
      <c r="N9" s="42" t="inlineStr">
        <is>
          <t>desire,danger,suspense</t>
        </is>
      </c>
      <c r="O9" s="42" t="inlineStr">
        <is>
          <t>C</t>
        </is>
      </c>
      <c r="P9" s="62" t="n">
        <v>46182</v>
      </c>
      <c r="Q9" s="43" t="inlineStr">
        <is>
          <t>题材强但风险需标注</t>
        </is>
      </c>
    </row>
    <row r="10">
      <c r="A10" s="61" t="n">
        <v>46182</v>
      </c>
      <c r="B10" s="42" t="inlineStr">
        <is>
          <t>Google Trends</t>
        </is>
      </c>
      <c r="C10" s="42" t="inlineStr">
        <is>
          <t>AU</t>
        </is>
      </c>
      <c r="D10" s="42" t="inlineStr">
        <is>
          <t>EN</t>
        </is>
      </c>
      <c r="E10" s="42" t="inlineStr">
        <is>
          <t>werewolf mate</t>
        </is>
      </c>
      <c r="F10" s="42" t="inlineStr">
        <is>
          <t>Fantasy romance search pattern tied to soulmate / rejection arcs</t>
        </is>
      </c>
      <c r="G10" s="42" t="inlineStr">
        <is>
          <t>https://trends.google.com/trends/explore?geo=AU&amp;q=werewolf%20mate</t>
        </is>
      </c>
      <c r="H10" s="42" t="inlineStr">
        <is>
          <t>search interest</t>
        </is>
      </c>
      <c r="I10" s="42" t="n"/>
      <c r="J10" s="42" t="n"/>
      <c r="K10" s="42" t="n"/>
      <c r="L10" s="42" t="inlineStr">
        <is>
          <t>7d</t>
        </is>
      </c>
      <c r="M10" s="42" t="inlineStr">
        <is>
          <t>positive</t>
        </is>
      </c>
      <c r="N10" s="42" t="inlineStr">
        <is>
          <t>fantasy,longing,rejection</t>
        </is>
      </c>
      <c r="O10" s="42" t="inlineStr">
        <is>
          <t>C</t>
        </is>
      </c>
      <c r="P10" s="62" t="n">
        <v>46182</v>
      </c>
      <c r="Q10" s="43" t="inlineStr">
        <is>
          <t>与现有短剧强类型重合</t>
        </is>
      </c>
    </row>
    <row r="11">
      <c r="A11" s="61" t="n">
        <v>46182</v>
      </c>
      <c r="B11" s="42" t="inlineStr">
        <is>
          <t>Instagram</t>
        </is>
      </c>
      <c r="C11" s="42" t="inlineStr">
        <is>
          <t>US</t>
        </is>
      </c>
      <c r="D11" s="42" t="inlineStr">
        <is>
          <t>EN</t>
        </is>
      </c>
      <c r="E11" s="42" t="inlineStr">
        <is>
          <t>tradwife backlash</t>
        </is>
      </c>
      <c r="F11" s="42" t="inlineStr">
        <is>
          <t>Public hashtag/search direction around traditional-wife identity, backlash, and relationship role debates.</t>
        </is>
      </c>
      <c r="G11" s="42" t="inlineStr">
        <is>
          <t>https://www.instagram.com/explore/tags/tradwife/</t>
        </is>
      </c>
      <c r="H11" s="42" t="inlineStr">
        <is>
          <t>public hashtag/search</t>
        </is>
      </c>
      <c r="I11" s="42" t="n"/>
      <c r="J11" s="42" t="n"/>
      <c r="K11" s="42" t="n"/>
      <c r="L11" s="42" t="inlineStr">
        <is>
          <t>7d</t>
        </is>
      </c>
      <c r="M11" s="42" t="inlineStr">
        <is>
          <t>mixed</t>
        </is>
      </c>
      <c r="N11" s="42" t="inlineStr">
        <is>
          <t>identity,gender_roles,backlash</t>
        </is>
      </c>
      <c r="O11" s="42" t="inlineStr">
        <is>
          <t>C</t>
        </is>
      </c>
      <c r="P11" s="62" t="n">
        <v>46182</v>
      </c>
      <c r="Q11" s="43" t="inlineStr">
        <is>
          <t>潜力题材：身份叙事/亲密关系角色争议，待核验热度</t>
        </is>
      </c>
    </row>
    <row r="12">
      <c r="A12" s="61" t="n">
        <v>46182</v>
      </c>
      <c r="B12" s="42" t="inlineStr">
        <is>
          <t>X / Twitter</t>
        </is>
      </c>
      <c r="C12" s="42" t="inlineStr">
        <is>
          <t>US</t>
        </is>
      </c>
      <c r="D12" s="42" t="inlineStr">
        <is>
          <t>EN</t>
        </is>
      </c>
      <c r="E12" s="42" t="inlineStr">
        <is>
          <t>AI girlfriend breakup</t>
        </is>
      </c>
      <c r="F12" s="42" t="inlineStr">
        <is>
          <t>Public search direction around AI companion relationships and emotional dependency.</t>
        </is>
      </c>
      <c r="G12" s="42" t="inlineStr">
        <is>
          <t>https://x.com/search?q=%22AI%20girlfriend%22&amp;src=typed_query&amp;f=top</t>
        </is>
      </c>
      <c r="H12" s="42" t="inlineStr">
        <is>
          <t>public search</t>
        </is>
      </c>
      <c r="I12" s="42" t="n"/>
      <c r="J12" s="42" t="n"/>
      <c r="K12" s="42" t="n"/>
      <c r="L12" s="42" t="inlineStr">
        <is>
          <t>7d</t>
        </is>
      </c>
      <c r="M12" s="42" t="inlineStr">
        <is>
          <t>mixed</t>
        </is>
      </c>
      <c r="N12" s="42" t="inlineStr">
        <is>
          <t>loneliness,dependency,technology</t>
        </is>
      </c>
      <c r="O12" s="42" t="inlineStr">
        <is>
          <t>C</t>
        </is>
      </c>
      <c r="P12" s="62" t="n">
        <v>46182</v>
      </c>
      <c r="Q12" s="43" t="inlineStr">
        <is>
          <t>潜力题材：AI亲密关系/孤独经济，暂不映射现有短剧类型</t>
        </is>
      </c>
    </row>
    <row r="13">
      <c r="A13" s="61" t="n">
        <v>46182</v>
      </c>
      <c r="B13" s="42" t="inlineStr">
        <is>
          <t>Quora</t>
        </is>
      </c>
      <c r="C13" s="42" t="inlineStr">
        <is>
          <t>US</t>
        </is>
      </c>
      <c r="D13" s="42" t="inlineStr">
        <is>
          <t>EN</t>
        </is>
      </c>
      <c r="E13" s="42" t="inlineStr">
        <is>
          <t>dating after divorce</t>
        </is>
      </c>
      <c r="F13" s="42" t="inlineStr">
        <is>
          <t>Question/search direction around second-chance romance, trust rebuilding, and late-life dating.</t>
        </is>
      </c>
      <c r="G13" s="42" t="inlineStr">
        <is>
          <t>https://www.quora.com/search?q=dating%20after%20divorce</t>
        </is>
      </c>
      <c r="H13" s="42" t="inlineStr">
        <is>
          <t>public search</t>
        </is>
      </c>
      <c r="I13" s="42" t="n"/>
      <c r="J13" s="42" t="n"/>
      <c r="K13" s="42" t="n"/>
      <c r="L13" s="42" t="inlineStr">
        <is>
          <t>7d</t>
        </is>
      </c>
      <c r="M13" s="42" t="inlineStr">
        <is>
          <t>mixed</t>
        </is>
      </c>
      <c r="N13" s="42" t="inlineStr">
        <is>
          <t>second_chance,trust,healing</t>
        </is>
      </c>
      <c r="O13" s="42" t="inlineStr">
        <is>
          <t>C</t>
        </is>
      </c>
      <c r="P13" s="62" t="n">
        <v>46182</v>
      </c>
      <c r="Q13" s="43" t="inlineStr">
        <is>
          <t>潜力题材：熟龄二次恋爱/信任重建，待观察</t>
        </is>
      </c>
    </row>
    <row r="14">
      <c r="A14" s="61" t="n">
        <v>46182</v>
      </c>
      <c r="B14" s="42" t="inlineStr">
        <is>
          <t>Medium</t>
        </is>
      </c>
      <c r="C14" s="42" t="inlineStr">
        <is>
          <t>US</t>
        </is>
      </c>
      <c r="D14" s="42" t="inlineStr">
        <is>
          <t>EN</t>
        </is>
      </c>
      <c r="E14" s="42" t="inlineStr">
        <is>
          <t>loneliness economy</t>
        </is>
      </c>
      <c r="F14" s="42" t="inlineStr">
        <is>
          <t>Essay/search direction around loneliness, emotional services, and modern intimacy.</t>
        </is>
      </c>
      <c r="G14" s="42" t="inlineStr">
        <is>
          <t>https://medium.com/search?q=loneliness%20economy</t>
        </is>
      </c>
      <c r="H14" s="42" t="inlineStr">
        <is>
          <t>public search</t>
        </is>
      </c>
      <c r="I14" s="42" t="n"/>
      <c r="J14" s="42" t="n"/>
      <c r="K14" s="42" t="n"/>
      <c r="L14" s="42" t="inlineStr">
        <is>
          <t>7d</t>
        </is>
      </c>
      <c r="M14" s="42" t="inlineStr">
        <is>
          <t>negative</t>
        </is>
      </c>
      <c r="N14" s="42" t="inlineStr">
        <is>
          <t>loneliness,modern_life,emotional_need</t>
        </is>
      </c>
      <c r="O14" s="42" t="inlineStr">
        <is>
          <t>C</t>
        </is>
      </c>
      <c r="P14" s="62" t="n">
        <v>46182</v>
      </c>
      <c r="Q14" s="43" t="inlineStr">
        <is>
          <t>潜力题材：孤独经济/情感服务，偏新方向</t>
        </is>
      </c>
    </row>
    <row r="15">
      <c r="A15" s="61" t="n"/>
      <c r="B15" s="42" t="n"/>
      <c r="C15" s="42" t="n"/>
      <c r="D15" s="42" t="n"/>
      <c r="E15" s="42" t="n"/>
      <c r="F15" s="42" t="n"/>
      <c r="G15" s="42" t="n"/>
      <c r="H15" s="42" t="n"/>
      <c r="I15" s="42" t="n"/>
      <c r="J15" s="42" t="n"/>
      <c r="K15" s="42" t="n"/>
      <c r="L15" s="42" t="n"/>
      <c r="M15" s="42" t="n"/>
      <c r="N15" s="42" t="n"/>
      <c r="O15" s="42" t="n"/>
      <c r="P15" s="62" t="n"/>
      <c r="Q15" s="43" t="n"/>
    </row>
    <row r="16">
      <c r="A16" s="61" t="n"/>
      <c r="B16" s="42" t="n"/>
      <c r="C16" s="42" t="n"/>
      <c r="D16" s="42" t="n"/>
      <c r="E16" s="42" t="n"/>
      <c r="F16" s="42" t="n"/>
      <c r="G16" s="42" t="n"/>
      <c r="H16" s="42" t="n"/>
      <c r="I16" s="42" t="n"/>
      <c r="J16" s="42" t="n"/>
      <c r="K16" s="42" t="n"/>
      <c r="L16" s="42" t="n"/>
      <c r="M16" s="42" t="n"/>
      <c r="N16" s="42" t="n"/>
      <c r="O16" s="42" t="n"/>
      <c r="P16" s="62" t="n"/>
      <c r="Q16" s="43" t="n"/>
    </row>
    <row r="17">
      <c r="A17" s="61" t="n"/>
      <c r="B17" s="42" t="n"/>
      <c r="C17" s="42" t="n"/>
      <c r="D17" s="42" t="n"/>
      <c r="E17" s="42" t="n"/>
      <c r="F17" s="42" t="n"/>
      <c r="G17" s="42" t="n"/>
      <c r="H17" s="42" t="n"/>
      <c r="I17" s="42" t="n"/>
      <c r="J17" s="42" t="n"/>
      <c r="K17" s="42" t="n"/>
      <c r="L17" s="42" t="n"/>
      <c r="M17" s="42" t="n"/>
      <c r="N17" s="42" t="n"/>
      <c r="O17" s="42" t="n"/>
      <c r="P17" s="62" t="n"/>
      <c r="Q17" s="43" t="n"/>
    </row>
    <row r="18">
      <c r="A18" s="61" t="n"/>
      <c r="B18" s="42" t="n"/>
      <c r="C18" s="42" t="n"/>
      <c r="D18" s="42" t="n"/>
      <c r="E18" s="42" t="n"/>
      <c r="F18" s="42" t="n"/>
      <c r="G18" s="42" t="n"/>
      <c r="H18" s="42" t="n"/>
      <c r="I18" s="42" t="n"/>
      <c r="J18" s="42" t="n"/>
      <c r="K18" s="42" t="n"/>
      <c r="L18" s="42" t="n"/>
      <c r="M18" s="42" t="n"/>
      <c r="N18" s="42" t="n"/>
      <c r="O18" s="42" t="n"/>
      <c r="P18" s="62" t="n"/>
      <c r="Q18" s="43" t="n"/>
    </row>
    <row r="19">
      <c r="A19" s="61" t="n"/>
      <c r="B19" s="42" t="n"/>
      <c r="C19" s="42" t="n"/>
      <c r="D19" s="42" t="n"/>
      <c r="E19" s="42" t="n"/>
      <c r="F19" s="42" t="n"/>
      <c r="G19" s="42" t="n"/>
      <c r="H19" s="42" t="n"/>
      <c r="I19" s="42" t="n"/>
      <c r="J19" s="42" t="n"/>
      <c r="K19" s="42" t="n"/>
      <c r="L19" s="42" t="n"/>
      <c r="M19" s="42" t="n"/>
      <c r="N19" s="42" t="n"/>
      <c r="O19" s="42" t="n"/>
      <c r="P19" s="62" t="n"/>
      <c r="Q19" s="43" t="n"/>
    </row>
    <row r="20">
      <c r="A20" s="61" t="n"/>
      <c r="B20" s="42" t="n"/>
      <c r="C20" s="42" t="n"/>
      <c r="D20" s="42" t="n"/>
      <c r="E20" s="42" t="n"/>
      <c r="F20" s="42" t="n"/>
      <c r="G20" s="42" t="n"/>
      <c r="H20" s="42" t="n"/>
      <c r="I20" s="42" t="n"/>
      <c r="J20" s="42" t="n"/>
      <c r="K20" s="42" t="n"/>
      <c r="L20" s="42" t="n"/>
      <c r="M20" s="42" t="n"/>
      <c r="N20" s="42" t="n"/>
      <c r="O20" s="42" t="n"/>
      <c r="P20" s="62" t="n"/>
      <c r="Q20" s="43" t="n"/>
    </row>
    <row r="21">
      <c r="A21" s="61" t="n"/>
      <c r="B21" s="42" t="n"/>
      <c r="C21" s="42" t="n"/>
      <c r="D21" s="42" t="n"/>
      <c r="E21" s="42" t="n"/>
      <c r="F21" s="42" t="n"/>
      <c r="G21" s="42" t="n"/>
      <c r="H21" s="42" t="n"/>
      <c r="I21" s="42" t="n"/>
      <c r="J21" s="42" t="n"/>
      <c r="K21" s="42" t="n"/>
      <c r="L21" s="42" t="n"/>
      <c r="M21" s="42" t="n"/>
      <c r="N21" s="42" t="n"/>
      <c r="O21" s="42" t="n"/>
      <c r="P21" s="62" t="n"/>
      <c r="Q21" s="43" t="n"/>
    </row>
    <row r="22">
      <c r="A22" s="61" t="n"/>
      <c r="B22" s="42" t="n"/>
      <c r="C22" s="42" t="n"/>
      <c r="D22" s="42" t="n"/>
      <c r="E22" s="42" t="n"/>
      <c r="F22" s="42" t="n"/>
      <c r="G22" s="42" t="n"/>
      <c r="H22" s="42" t="n"/>
      <c r="I22" s="42" t="n"/>
      <c r="J22" s="42" t="n"/>
      <c r="K22" s="42" t="n"/>
      <c r="L22" s="42" t="n"/>
      <c r="M22" s="42" t="n"/>
      <c r="N22" s="42" t="n"/>
      <c r="O22" s="42" t="n"/>
      <c r="P22" s="62" t="n"/>
      <c r="Q22" s="43" t="n"/>
    </row>
    <row r="23">
      <c r="A23" s="61" t="n"/>
      <c r="B23" s="42" t="n"/>
      <c r="C23" s="42" t="n"/>
      <c r="D23" s="42" t="n"/>
      <c r="E23" s="42" t="n"/>
      <c r="F23" s="42" t="n"/>
      <c r="G23" s="42" t="n"/>
      <c r="H23" s="42" t="n"/>
      <c r="I23" s="42" t="n"/>
      <c r="J23" s="42" t="n"/>
      <c r="K23" s="42" t="n"/>
      <c r="L23" s="42" t="n"/>
      <c r="M23" s="42" t="n"/>
      <c r="N23" s="42" t="n"/>
      <c r="O23" s="42" t="n"/>
      <c r="P23" s="62" t="n"/>
      <c r="Q23" s="43" t="n"/>
    </row>
    <row r="24">
      <c r="A24" s="61" t="n"/>
      <c r="B24" s="42" t="n"/>
      <c r="C24" s="42" t="n"/>
      <c r="D24" s="42" t="n"/>
      <c r="E24" s="42" t="n"/>
      <c r="F24" s="42" t="n"/>
      <c r="G24" s="42" t="n"/>
      <c r="H24" s="42" t="n"/>
      <c r="I24" s="42" t="n"/>
      <c r="J24" s="42" t="n"/>
      <c r="K24" s="42" t="n"/>
      <c r="L24" s="42" t="n"/>
      <c r="M24" s="42" t="n"/>
      <c r="N24" s="42" t="n"/>
      <c r="O24" s="42" t="n"/>
      <c r="P24" s="62" t="n"/>
      <c r="Q24" s="43" t="n"/>
    </row>
    <row r="25">
      <c r="A25" s="61" t="n"/>
      <c r="B25" s="42" t="n"/>
      <c r="C25" s="42" t="n"/>
      <c r="D25" s="42" t="n"/>
      <c r="E25" s="42" t="n"/>
      <c r="F25" s="42" t="n"/>
      <c r="G25" s="42" t="n"/>
      <c r="H25" s="42" t="n"/>
      <c r="I25" s="42" t="n"/>
      <c r="J25" s="42" t="n"/>
      <c r="K25" s="42" t="n"/>
      <c r="L25" s="42" t="n"/>
      <c r="M25" s="42" t="n"/>
      <c r="N25" s="42" t="n"/>
      <c r="O25" s="42" t="n"/>
      <c r="P25" s="62" t="n"/>
      <c r="Q25" s="43" t="n"/>
    </row>
    <row r="26">
      <c r="A26" s="61" t="n"/>
      <c r="B26" s="42" t="n"/>
      <c r="C26" s="42" t="n"/>
      <c r="D26" s="42" t="n"/>
      <c r="E26" s="42" t="n"/>
      <c r="F26" s="42" t="n"/>
      <c r="G26" s="42" t="n"/>
      <c r="H26" s="42" t="n"/>
      <c r="I26" s="42" t="n"/>
      <c r="J26" s="42" t="n"/>
      <c r="K26" s="42" t="n"/>
      <c r="L26" s="42" t="n"/>
      <c r="M26" s="42" t="n"/>
      <c r="N26" s="42" t="n"/>
      <c r="O26" s="42" t="n"/>
      <c r="P26" s="62" t="n"/>
      <c r="Q26" s="43" t="n"/>
    </row>
    <row r="27">
      <c r="A27" s="61" t="n"/>
      <c r="B27" s="42" t="n"/>
      <c r="C27" s="42" t="n"/>
      <c r="D27" s="42" t="n"/>
      <c r="E27" s="42" t="n"/>
      <c r="F27" s="42" t="n"/>
      <c r="G27" s="42" t="n"/>
      <c r="H27" s="42" t="n"/>
      <c r="I27" s="42" t="n"/>
      <c r="J27" s="42" t="n"/>
      <c r="K27" s="42" t="n"/>
      <c r="L27" s="42" t="n"/>
      <c r="M27" s="42" t="n"/>
      <c r="N27" s="42" t="n"/>
      <c r="O27" s="42" t="n"/>
      <c r="P27" s="62" t="n"/>
      <c r="Q27" s="43" t="n"/>
    </row>
    <row r="28">
      <c r="A28" s="61" t="n"/>
      <c r="B28" s="42" t="n"/>
      <c r="C28" s="42" t="n"/>
      <c r="D28" s="42" t="n"/>
      <c r="E28" s="42" t="n"/>
      <c r="F28" s="42" t="n"/>
      <c r="G28" s="42" t="n"/>
      <c r="H28" s="42" t="n"/>
      <c r="I28" s="42" t="n"/>
      <c r="J28" s="42" t="n"/>
      <c r="K28" s="42" t="n"/>
      <c r="L28" s="42" t="n"/>
      <c r="M28" s="42" t="n"/>
      <c r="N28" s="42" t="n"/>
      <c r="O28" s="42" t="n"/>
      <c r="P28" s="62" t="n"/>
      <c r="Q28" s="43" t="n"/>
    </row>
    <row r="29">
      <c r="A29" s="61" t="n"/>
      <c r="B29" s="42" t="n"/>
      <c r="C29" s="42" t="n"/>
      <c r="D29" s="42" t="n"/>
      <c r="E29" s="42" t="n"/>
      <c r="F29" s="42" t="n"/>
      <c r="G29" s="42" t="n"/>
      <c r="H29" s="42" t="n"/>
      <c r="I29" s="42" t="n"/>
      <c r="J29" s="42" t="n"/>
      <c r="K29" s="42" t="n"/>
      <c r="L29" s="42" t="n"/>
      <c r="M29" s="42" t="n"/>
      <c r="N29" s="42" t="n"/>
      <c r="O29" s="42" t="n"/>
      <c r="P29" s="62" t="n"/>
      <c r="Q29" s="43" t="n"/>
    </row>
    <row r="30">
      <c r="A30" s="61" t="n"/>
      <c r="B30" s="42" t="n"/>
      <c r="C30" s="42" t="n"/>
      <c r="D30" s="42" t="n"/>
      <c r="E30" s="42" t="n"/>
      <c r="F30" s="42" t="n"/>
      <c r="G30" s="42" t="n"/>
      <c r="H30" s="42" t="n"/>
      <c r="I30" s="42" t="n"/>
      <c r="J30" s="42" t="n"/>
      <c r="K30" s="42" t="n"/>
      <c r="L30" s="42" t="n"/>
      <c r="M30" s="42" t="n"/>
      <c r="N30" s="42" t="n"/>
      <c r="O30" s="42" t="n"/>
      <c r="P30" s="62" t="n"/>
      <c r="Q30" s="43" t="n"/>
    </row>
    <row r="31">
      <c r="A31" s="61" t="n"/>
      <c r="B31" s="42" t="n"/>
      <c r="C31" s="42" t="n"/>
      <c r="D31" s="42" t="n"/>
      <c r="E31" s="42" t="n"/>
      <c r="F31" s="42" t="n"/>
      <c r="G31" s="42" t="n"/>
      <c r="H31" s="42" t="n"/>
      <c r="I31" s="42" t="n"/>
      <c r="J31" s="42" t="n"/>
      <c r="K31" s="42" t="n"/>
      <c r="L31" s="42" t="n"/>
      <c r="M31" s="42" t="n"/>
      <c r="N31" s="42" t="n"/>
      <c r="O31" s="42" t="n"/>
      <c r="P31" s="62" t="n"/>
      <c r="Q31" s="43" t="n"/>
    </row>
    <row r="32">
      <c r="A32" s="61" t="n"/>
      <c r="B32" s="42" t="n"/>
      <c r="C32" s="42" t="n"/>
      <c r="D32" s="42" t="n"/>
      <c r="E32" s="42" t="n"/>
      <c r="F32" s="42" t="n"/>
      <c r="G32" s="42" t="n"/>
      <c r="H32" s="42" t="n"/>
      <c r="I32" s="42" t="n"/>
      <c r="J32" s="42" t="n"/>
      <c r="K32" s="42" t="n"/>
      <c r="L32" s="42" t="n"/>
      <c r="M32" s="42" t="n"/>
      <c r="N32" s="42" t="n"/>
      <c r="O32" s="42" t="n"/>
      <c r="P32" s="62" t="n"/>
      <c r="Q32" s="43" t="n"/>
    </row>
    <row r="33">
      <c r="A33" s="61" t="n"/>
      <c r="B33" s="42" t="n"/>
      <c r="C33" s="42" t="n"/>
      <c r="D33" s="42" t="n"/>
      <c r="E33" s="42" t="n"/>
      <c r="F33" s="42" t="n"/>
      <c r="G33" s="42" t="n"/>
      <c r="H33" s="42" t="n"/>
      <c r="I33" s="42" t="n"/>
      <c r="J33" s="42" t="n"/>
      <c r="K33" s="42" t="n"/>
      <c r="L33" s="42" t="n"/>
      <c r="M33" s="42" t="n"/>
      <c r="N33" s="42" t="n"/>
      <c r="O33" s="42" t="n"/>
      <c r="P33" s="62" t="n"/>
      <c r="Q33" s="43" t="n"/>
    </row>
    <row r="34">
      <c r="A34" s="61" t="n"/>
      <c r="B34" s="42" t="n"/>
      <c r="C34" s="42" t="n"/>
      <c r="D34" s="42" t="n"/>
      <c r="E34" s="42" t="n"/>
      <c r="F34" s="42" t="n"/>
      <c r="G34" s="42" t="n"/>
      <c r="H34" s="42" t="n"/>
      <c r="I34" s="42" t="n"/>
      <c r="J34" s="42" t="n"/>
      <c r="K34" s="42" t="n"/>
      <c r="L34" s="42" t="n"/>
      <c r="M34" s="42" t="n"/>
      <c r="N34" s="42" t="n"/>
      <c r="O34" s="42" t="n"/>
      <c r="P34" s="62" t="n"/>
      <c r="Q34" s="43" t="n"/>
    </row>
    <row r="35">
      <c r="A35" s="61" t="n"/>
      <c r="B35" s="42" t="n"/>
      <c r="C35" s="42" t="n"/>
      <c r="D35" s="42" t="n"/>
      <c r="E35" s="42" t="n"/>
      <c r="F35" s="42" t="n"/>
      <c r="G35" s="42" t="n"/>
      <c r="H35" s="42" t="n"/>
      <c r="I35" s="42" t="n"/>
      <c r="J35" s="42" t="n"/>
      <c r="K35" s="42" t="n"/>
      <c r="L35" s="42" t="n"/>
      <c r="M35" s="42" t="n"/>
      <c r="N35" s="42" t="n"/>
      <c r="O35" s="42" t="n"/>
      <c r="P35" s="62" t="n"/>
      <c r="Q35" s="43" t="n"/>
    </row>
    <row r="36">
      <c r="A36" s="61" t="n"/>
      <c r="B36" s="42" t="n"/>
      <c r="C36" s="42" t="n"/>
      <c r="D36" s="42" t="n"/>
      <c r="E36" s="42" t="n"/>
      <c r="F36" s="42" t="n"/>
      <c r="G36" s="42" t="n"/>
      <c r="H36" s="42" t="n"/>
      <c r="I36" s="42" t="n"/>
      <c r="J36" s="42" t="n"/>
      <c r="K36" s="42" t="n"/>
      <c r="L36" s="42" t="n"/>
      <c r="M36" s="42" t="n"/>
      <c r="N36" s="42" t="n"/>
      <c r="O36" s="42" t="n"/>
      <c r="P36" s="62" t="n"/>
      <c r="Q36" s="43" t="n"/>
    </row>
    <row r="37">
      <c r="A37" s="61" t="n"/>
      <c r="B37" s="42" t="n"/>
      <c r="C37" s="42" t="n"/>
      <c r="D37" s="42" t="n"/>
      <c r="E37" s="42" t="n"/>
      <c r="F37" s="42" t="n"/>
      <c r="G37" s="42" t="n"/>
      <c r="H37" s="42" t="n"/>
      <c r="I37" s="42" t="n"/>
      <c r="J37" s="42" t="n"/>
      <c r="K37" s="42" t="n"/>
      <c r="L37" s="42" t="n"/>
      <c r="M37" s="42" t="n"/>
      <c r="N37" s="42" t="n"/>
      <c r="O37" s="42" t="n"/>
      <c r="P37" s="62" t="n"/>
      <c r="Q37" s="43" t="n"/>
    </row>
    <row r="38">
      <c r="A38" s="61" t="n"/>
      <c r="B38" s="42" t="n"/>
      <c r="C38" s="42" t="n"/>
      <c r="D38" s="42" t="n"/>
      <c r="E38" s="42" t="n"/>
      <c r="F38" s="42" t="n"/>
      <c r="G38" s="42" t="n"/>
      <c r="H38" s="42" t="n"/>
      <c r="I38" s="42" t="n"/>
      <c r="J38" s="42" t="n"/>
      <c r="K38" s="42" t="n"/>
      <c r="L38" s="42" t="n"/>
      <c r="M38" s="42" t="n"/>
      <c r="N38" s="42" t="n"/>
      <c r="O38" s="42" t="n"/>
      <c r="P38" s="62" t="n"/>
      <c r="Q38" s="43" t="n"/>
    </row>
    <row r="39">
      <c r="A39" s="61" t="n"/>
      <c r="B39" s="42" t="n"/>
      <c r="C39" s="42" t="n"/>
      <c r="D39" s="42" t="n"/>
      <c r="E39" s="42" t="n"/>
      <c r="F39" s="42" t="n"/>
      <c r="G39" s="42" t="n"/>
      <c r="H39" s="42" t="n"/>
      <c r="I39" s="42" t="n"/>
      <c r="J39" s="42" t="n"/>
      <c r="K39" s="42" t="n"/>
      <c r="L39" s="42" t="n"/>
      <c r="M39" s="42" t="n"/>
      <c r="N39" s="42" t="n"/>
      <c r="O39" s="42" t="n"/>
      <c r="P39" s="62" t="n"/>
      <c r="Q39" s="43" t="n"/>
    </row>
    <row r="40">
      <c r="A40" s="61" t="n"/>
      <c r="B40" s="42" t="n"/>
      <c r="C40" s="42" t="n"/>
      <c r="D40" s="42" t="n"/>
      <c r="E40" s="42" t="n"/>
      <c r="F40" s="42" t="n"/>
      <c r="G40" s="42" t="n"/>
      <c r="H40" s="42" t="n"/>
      <c r="I40" s="42" t="n"/>
      <c r="J40" s="42" t="n"/>
      <c r="K40" s="42" t="n"/>
      <c r="L40" s="42" t="n"/>
      <c r="M40" s="42" t="n"/>
      <c r="N40" s="42" t="n"/>
      <c r="O40" s="42" t="n"/>
      <c r="P40" s="62" t="n"/>
      <c r="Q40" s="43" t="n"/>
    </row>
    <row r="41">
      <c r="A41" s="61" t="n"/>
      <c r="B41" s="42" t="n"/>
      <c r="C41" s="42" t="n"/>
      <c r="D41" s="42" t="n"/>
      <c r="E41" s="42" t="n"/>
      <c r="F41" s="42" t="n"/>
      <c r="G41" s="42" t="n"/>
      <c r="H41" s="42" t="n"/>
      <c r="I41" s="42" t="n"/>
      <c r="J41" s="42" t="n"/>
      <c r="K41" s="42" t="n"/>
      <c r="L41" s="42" t="n"/>
      <c r="M41" s="42" t="n"/>
      <c r="N41" s="42" t="n"/>
      <c r="O41" s="42" t="n"/>
      <c r="P41" s="62" t="n"/>
      <c r="Q41" s="43" t="n"/>
    </row>
    <row r="42">
      <c r="A42" s="61" t="n"/>
      <c r="B42" s="42" t="n"/>
      <c r="C42" s="42" t="n"/>
      <c r="D42" s="42" t="n"/>
      <c r="E42" s="42" t="n"/>
      <c r="F42" s="42" t="n"/>
      <c r="G42" s="42" t="n"/>
      <c r="H42" s="42" t="n"/>
      <c r="I42" s="42" t="n"/>
      <c r="J42" s="42" t="n"/>
      <c r="K42" s="42" t="n"/>
      <c r="L42" s="42" t="n"/>
      <c r="M42" s="42" t="n"/>
      <c r="N42" s="42" t="n"/>
      <c r="O42" s="42" t="n"/>
      <c r="P42" s="62" t="n"/>
      <c r="Q42" s="43" t="n"/>
    </row>
    <row r="43">
      <c r="A43" s="61" t="n"/>
      <c r="B43" s="42" t="n"/>
      <c r="C43" s="42" t="n"/>
      <c r="D43" s="42" t="n"/>
      <c r="E43" s="42" t="n"/>
      <c r="F43" s="42" t="n"/>
      <c r="G43" s="42" t="n"/>
      <c r="H43" s="42" t="n"/>
      <c r="I43" s="42" t="n"/>
      <c r="J43" s="42" t="n"/>
      <c r="K43" s="42" t="n"/>
      <c r="L43" s="42" t="n"/>
      <c r="M43" s="42" t="n"/>
      <c r="N43" s="42" t="n"/>
      <c r="O43" s="42" t="n"/>
      <c r="P43" s="62" t="n"/>
      <c r="Q43" s="43" t="n"/>
    </row>
    <row r="44">
      <c r="A44" s="61" t="n"/>
      <c r="B44" s="42" t="n"/>
      <c r="C44" s="42" t="n"/>
      <c r="D44" s="42" t="n"/>
      <c r="E44" s="42" t="n"/>
      <c r="F44" s="42" t="n"/>
      <c r="G44" s="42" t="n"/>
      <c r="H44" s="42" t="n"/>
      <c r="I44" s="42" t="n"/>
      <c r="J44" s="42" t="n"/>
      <c r="K44" s="42" t="n"/>
      <c r="L44" s="42" t="n"/>
      <c r="M44" s="42" t="n"/>
      <c r="N44" s="42" t="n"/>
      <c r="O44" s="42" t="n"/>
      <c r="P44" s="62" t="n"/>
      <c r="Q44" s="43" t="n"/>
    </row>
    <row r="45">
      <c r="A45" s="61" t="n"/>
      <c r="B45" s="42" t="n"/>
      <c r="C45" s="42" t="n"/>
      <c r="D45" s="42" t="n"/>
      <c r="E45" s="42" t="n"/>
      <c r="F45" s="42" t="n"/>
      <c r="G45" s="42" t="n"/>
      <c r="H45" s="42" t="n"/>
      <c r="I45" s="42" t="n"/>
      <c r="J45" s="42" t="n"/>
      <c r="K45" s="42" t="n"/>
      <c r="L45" s="42" t="n"/>
      <c r="M45" s="42" t="n"/>
      <c r="N45" s="42" t="n"/>
      <c r="O45" s="42" t="n"/>
      <c r="P45" s="62" t="n"/>
      <c r="Q45" s="43" t="n"/>
    </row>
    <row r="46">
      <c r="A46" s="61" t="n"/>
      <c r="B46" s="42" t="n"/>
      <c r="C46" s="42" t="n"/>
      <c r="D46" s="42" t="n"/>
      <c r="E46" s="42" t="n"/>
      <c r="F46" s="42" t="n"/>
      <c r="G46" s="42" t="n"/>
      <c r="H46" s="42" t="n"/>
      <c r="I46" s="42" t="n"/>
      <c r="J46" s="42" t="n"/>
      <c r="K46" s="42" t="n"/>
      <c r="L46" s="42" t="n"/>
      <c r="M46" s="42" t="n"/>
      <c r="N46" s="42" t="n"/>
      <c r="O46" s="42" t="n"/>
      <c r="P46" s="62" t="n"/>
      <c r="Q46" s="43" t="n"/>
    </row>
    <row r="47">
      <c r="A47" s="61" t="n"/>
      <c r="B47" s="42" t="n"/>
      <c r="C47" s="42" t="n"/>
      <c r="D47" s="42" t="n"/>
      <c r="E47" s="42" t="n"/>
      <c r="F47" s="42" t="n"/>
      <c r="G47" s="42" t="n"/>
      <c r="H47" s="42" t="n"/>
      <c r="I47" s="42" t="n"/>
      <c r="J47" s="42" t="n"/>
      <c r="K47" s="42" t="n"/>
      <c r="L47" s="42" t="n"/>
      <c r="M47" s="42" t="n"/>
      <c r="N47" s="42" t="n"/>
      <c r="O47" s="42" t="n"/>
      <c r="P47" s="62" t="n"/>
      <c r="Q47" s="43" t="n"/>
    </row>
    <row r="48">
      <c r="A48" s="61" t="n"/>
      <c r="B48" s="42" t="n"/>
      <c r="C48" s="42" t="n"/>
      <c r="D48" s="42" t="n"/>
      <c r="E48" s="42" t="n"/>
      <c r="F48" s="42" t="n"/>
      <c r="G48" s="42" t="n"/>
      <c r="H48" s="42" t="n"/>
      <c r="I48" s="42" t="n"/>
      <c r="J48" s="42" t="n"/>
      <c r="K48" s="42" t="n"/>
      <c r="L48" s="42" t="n"/>
      <c r="M48" s="42" t="n"/>
      <c r="N48" s="42" t="n"/>
      <c r="O48" s="42" t="n"/>
      <c r="P48" s="62" t="n"/>
      <c r="Q48" s="43" t="n"/>
    </row>
    <row r="49">
      <c r="A49" s="61" t="n"/>
      <c r="B49" s="42" t="n"/>
      <c r="C49" s="42" t="n"/>
      <c r="D49" s="42" t="n"/>
      <c r="E49" s="42" t="n"/>
      <c r="F49" s="42" t="n"/>
      <c r="G49" s="42" t="n"/>
      <c r="H49" s="42" t="n"/>
      <c r="I49" s="42" t="n"/>
      <c r="J49" s="42" t="n"/>
      <c r="K49" s="42" t="n"/>
      <c r="L49" s="42" t="n"/>
      <c r="M49" s="42" t="n"/>
      <c r="N49" s="42" t="n"/>
      <c r="O49" s="42" t="n"/>
      <c r="P49" s="62" t="n"/>
      <c r="Q49" s="43" t="n"/>
    </row>
    <row r="50">
      <c r="A50" s="61" t="n"/>
      <c r="B50" s="42" t="n"/>
      <c r="C50" s="42" t="n"/>
      <c r="D50" s="42" t="n"/>
      <c r="E50" s="42" t="n"/>
      <c r="F50" s="42" t="n"/>
      <c r="G50" s="42" t="n"/>
      <c r="H50" s="42" t="n"/>
      <c r="I50" s="42" t="n"/>
      <c r="J50" s="42" t="n"/>
      <c r="K50" s="42" t="n"/>
      <c r="L50" s="42" t="n"/>
      <c r="M50" s="42" t="n"/>
      <c r="N50" s="42" t="n"/>
      <c r="O50" s="42" t="n"/>
      <c r="P50" s="62" t="n"/>
      <c r="Q50" s="43" t="n"/>
    </row>
    <row r="51">
      <c r="A51" s="61" t="n"/>
      <c r="B51" s="42" t="n"/>
      <c r="C51" s="42" t="n"/>
      <c r="D51" s="42" t="n"/>
      <c r="E51" s="42" t="n"/>
      <c r="F51" s="42" t="n"/>
      <c r="G51" s="42" t="n"/>
      <c r="H51" s="42" t="n"/>
      <c r="I51" s="42" t="n"/>
      <c r="J51" s="42" t="n"/>
      <c r="K51" s="42" t="n"/>
      <c r="L51" s="42" t="n"/>
      <c r="M51" s="42" t="n"/>
      <c r="N51" s="42" t="n"/>
      <c r="O51" s="42" t="n"/>
      <c r="P51" s="62" t="n"/>
      <c r="Q51" s="43" t="n"/>
    </row>
    <row r="52">
      <c r="A52" s="61" t="n"/>
      <c r="B52" s="42" t="n"/>
      <c r="C52" s="42" t="n"/>
      <c r="D52" s="42" t="n"/>
      <c r="E52" s="42" t="n"/>
      <c r="F52" s="42" t="n"/>
      <c r="G52" s="42" t="n"/>
      <c r="H52" s="42" t="n"/>
      <c r="I52" s="42" t="n"/>
      <c r="J52" s="42" t="n"/>
      <c r="K52" s="42" t="n"/>
      <c r="L52" s="42" t="n"/>
      <c r="M52" s="42" t="n"/>
      <c r="N52" s="42" t="n"/>
      <c r="O52" s="42" t="n"/>
      <c r="P52" s="62" t="n"/>
      <c r="Q52" s="43" t="n"/>
    </row>
    <row r="53">
      <c r="A53" s="61" t="n"/>
      <c r="B53" s="42" t="n"/>
      <c r="C53" s="42" t="n"/>
      <c r="D53" s="42" t="n"/>
      <c r="E53" s="42" t="n"/>
      <c r="F53" s="42" t="n"/>
      <c r="G53" s="42" t="n"/>
      <c r="H53" s="42" t="n"/>
      <c r="I53" s="42" t="n"/>
      <c r="J53" s="42" t="n"/>
      <c r="K53" s="42" t="n"/>
      <c r="L53" s="42" t="n"/>
      <c r="M53" s="42" t="n"/>
      <c r="N53" s="42" t="n"/>
      <c r="O53" s="42" t="n"/>
      <c r="P53" s="62" t="n"/>
      <c r="Q53" s="43" t="n"/>
    </row>
    <row r="54">
      <c r="A54" s="61" t="n"/>
      <c r="B54" s="42" t="n"/>
      <c r="C54" s="42" t="n"/>
      <c r="D54" s="42" t="n"/>
      <c r="E54" s="42" t="n"/>
      <c r="F54" s="42" t="n"/>
      <c r="G54" s="42" t="n"/>
      <c r="H54" s="42" t="n"/>
      <c r="I54" s="42" t="n"/>
      <c r="J54" s="42" t="n"/>
      <c r="K54" s="42" t="n"/>
      <c r="L54" s="42" t="n"/>
      <c r="M54" s="42" t="n"/>
      <c r="N54" s="42" t="n"/>
      <c r="O54" s="42" t="n"/>
      <c r="P54" s="62" t="n"/>
      <c r="Q54" s="43" t="n"/>
    </row>
    <row r="55">
      <c r="A55" s="61" t="n"/>
      <c r="B55" s="42" t="n"/>
      <c r="C55" s="42" t="n"/>
      <c r="D55" s="42" t="n"/>
      <c r="E55" s="42" t="n"/>
      <c r="F55" s="42" t="n"/>
      <c r="G55" s="42" t="n"/>
      <c r="H55" s="42" t="n"/>
      <c r="I55" s="42" t="n"/>
      <c r="J55" s="42" t="n"/>
      <c r="K55" s="42" t="n"/>
      <c r="L55" s="42" t="n"/>
      <c r="M55" s="42" t="n"/>
      <c r="N55" s="42" t="n"/>
      <c r="O55" s="42" t="n"/>
      <c r="P55" s="62" t="n"/>
      <c r="Q55" s="43" t="n"/>
    </row>
    <row r="56">
      <c r="A56" s="61" t="n"/>
      <c r="B56" s="42" t="n"/>
      <c r="C56" s="42" t="n"/>
      <c r="D56" s="42" t="n"/>
      <c r="E56" s="42" t="n"/>
      <c r="F56" s="42" t="n"/>
      <c r="G56" s="42" t="n"/>
      <c r="H56" s="42" t="n"/>
      <c r="I56" s="42" t="n"/>
      <c r="J56" s="42" t="n"/>
      <c r="K56" s="42" t="n"/>
      <c r="L56" s="42" t="n"/>
      <c r="M56" s="42" t="n"/>
      <c r="N56" s="42" t="n"/>
      <c r="O56" s="42" t="n"/>
      <c r="P56" s="62" t="n"/>
      <c r="Q56" s="43" t="n"/>
    </row>
    <row r="57">
      <c r="A57" s="61" t="n"/>
      <c r="B57" s="42" t="n"/>
      <c r="C57" s="42" t="n"/>
      <c r="D57" s="42" t="n"/>
      <c r="E57" s="42" t="n"/>
      <c r="F57" s="42" t="n"/>
      <c r="G57" s="42" t="n"/>
      <c r="H57" s="42" t="n"/>
      <c r="I57" s="42" t="n"/>
      <c r="J57" s="42" t="n"/>
      <c r="K57" s="42" t="n"/>
      <c r="L57" s="42" t="n"/>
      <c r="M57" s="42" t="n"/>
      <c r="N57" s="42" t="n"/>
      <c r="O57" s="42" t="n"/>
      <c r="P57" s="62" t="n"/>
      <c r="Q57" s="43" t="n"/>
    </row>
    <row r="58">
      <c r="A58" s="61" t="n"/>
      <c r="B58" s="42" t="n"/>
      <c r="C58" s="42" t="n"/>
      <c r="D58" s="42" t="n"/>
      <c r="E58" s="42" t="n"/>
      <c r="F58" s="42" t="n"/>
      <c r="G58" s="42" t="n"/>
      <c r="H58" s="42" t="n"/>
      <c r="I58" s="42" t="n"/>
      <c r="J58" s="42" t="n"/>
      <c r="K58" s="42" t="n"/>
      <c r="L58" s="42" t="n"/>
      <c r="M58" s="42" t="n"/>
      <c r="N58" s="42" t="n"/>
      <c r="O58" s="42" t="n"/>
      <c r="P58" s="62" t="n"/>
      <c r="Q58" s="43" t="n"/>
    </row>
    <row r="59">
      <c r="A59" s="61" t="n"/>
      <c r="B59" s="42" t="n"/>
      <c r="C59" s="42" t="n"/>
      <c r="D59" s="42" t="n"/>
      <c r="E59" s="42" t="n"/>
      <c r="F59" s="42" t="n"/>
      <c r="G59" s="42" t="n"/>
      <c r="H59" s="42" t="n"/>
      <c r="I59" s="42" t="n"/>
      <c r="J59" s="42" t="n"/>
      <c r="K59" s="42" t="n"/>
      <c r="L59" s="42" t="n"/>
      <c r="M59" s="42" t="n"/>
      <c r="N59" s="42" t="n"/>
      <c r="O59" s="42" t="n"/>
      <c r="P59" s="62" t="n"/>
      <c r="Q59" s="43" t="n"/>
    </row>
    <row r="60">
      <c r="A60" s="61" t="n"/>
      <c r="B60" s="42" t="n"/>
      <c r="C60" s="42" t="n"/>
      <c r="D60" s="42" t="n"/>
      <c r="E60" s="42" t="n"/>
      <c r="F60" s="42" t="n"/>
      <c r="G60" s="42" t="n"/>
      <c r="H60" s="42" t="n"/>
      <c r="I60" s="42" t="n"/>
      <c r="J60" s="42" t="n"/>
      <c r="K60" s="42" t="n"/>
      <c r="L60" s="42" t="n"/>
      <c r="M60" s="42" t="n"/>
      <c r="N60" s="42" t="n"/>
      <c r="O60" s="42" t="n"/>
      <c r="P60" s="62" t="n"/>
      <c r="Q60" s="43" t="n"/>
    </row>
    <row r="61">
      <c r="A61" s="61" t="n"/>
      <c r="B61" s="42" t="n"/>
      <c r="C61" s="42" t="n"/>
      <c r="D61" s="42" t="n"/>
      <c r="E61" s="42" t="n"/>
      <c r="F61" s="42" t="n"/>
      <c r="G61" s="42" t="n"/>
      <c r="H61" s="42" t="n"/>
      <c r="I61" s="42" t="n"/>
      <c r="J61" s="42" t="n"/>
      <c r="K61" s="42" t="n"/>
      <c r="L61" s="42" t="n"/>
      <c r="M61" s="42" t="n"/>
      <c r="N61" s="42" t="n"/>
      <c r="O61" s="42" t="n"/>
      <c r="P61" s="62" t="n"/>
      <c r="Q61" s="43" t="n"/>
    </row>
    <row r="62">
      <c r="A62" s="61" t="n"/>
      <c r="B62" s="42" t="n"/>
      <c r="C62" s="42" t="n"/>
      <c r="D62" s="42" t="n"/>
      <c r="E62" s="42" t="n"/>
      <c r="F62" s="42" t="n"/>
      <c r="G62" s="42" t="n"/>
      <c r="H62" s="42" t="n"/>
      <c r="I62" s="42" t="n"/>
      <c r="J62" s="42" t="n"/>
      <c r="K62" s="42" t="n"/>
      <c r="L62" s="42" t="n"/>
      <c r="M62" s="42" t="n"/>
      <c r="N62" s="42" t="n"/>
      <c r="O62" s="42" t="n"/>
      <c r="P62" s="62" t="n"/>
      <c r="Q62" s="43" t="n"/>
    </row>
    <row r="63">
      <c r="A63" s="61" t="n"/>
      <c r="B63" s="42" t="n"/>
      <c r="C63" s="42" t="n"/>
      <c r="D63" s="42" t="n"/>
      <c r="E63" s="42" t="n"/>
      <c r="F63" s="42" t="n"/>
      <c r="G63" s="42" t="n"/>
      <c r="H63" s="42" t="n"/>
      <c r="I63" s="42" t="n"/>
      <c r="J63" s="42" t="n"/>
      <c r="K63" s="42" t="n"/>
      <c r="L63" s="42" t="n"/>
      <c r="M63" s="42" t="n"/>
      <c r="N63" s="42" t="n"/>
      <c r="O63" s="42" t="n"/>
      <c r="P63" s="62" t="n"/>
      <c r="Q63" s="43" t="n"/>
    </row>
    <row r="64">
      <c r="A64" s="61" t="n"/>
      <c r="B64" s="42" t="n"/>
      <c r="C64" s="42" t="n"/>
      <c r="D64" s="42" t="n"/>
      <c r="E64" s="42" t="n"/>
      <c r="F64" s="42" t="n"/>
      <c r="G64" s="42" t="n"/>
      <c r="H64" s="42" t="n"/>
      <c r="I64" s="42" t="n"/>
      <c r="J64" s="42" t="n"/>
      <c r="K64" s="42" t="n"/>
      <c r="L64" s="42" t="n"/>
      <c r="M64" s="42" t="n"/>
      <c r="N64" s="42" t="n"/>
      <c r="O64" s="42" t="n"/>
      <c r="P64" s="62" t="n"/>
      <c r="Q64" s="43" t="n"/>
    </row>
    <row r="65">
      <c r="A65" s="61" t="n"/>
      <c r="B65" s="42" t="n"/>
      <c r="C65" s="42" t="n"/>
      <c r="D65" s="42" t="n"/>
      <c r="E65" s="42" t="n"/>
      <c r="F65" s="42" t="n"/>
      <c r="G65" s="42" t="n"/>
      <c r="H65" s="42" t="n"/>
      <c r="I65" s="42" t="n"/>
      <c r="J65" s="42" t="n"/>
      <c r="K65" s="42" t="n"/>
      <c r="L65" s="42" t="n"/>
      <c r="M65" s="42" t="n"/>
      <c r="N65" s="42" t="n"/>
      <c r="O65" s="42" t="n"/>
      <c r="P65" s="62" t="n"/>
      <c r="Q65" s="43" t="n"/>
    </row>
    <row r="66">
      <c r="A66" s="61" t="n"/>
      <c r="B66" s="42" t="n"/>
      <c r="C66" s="42" t="n"/>
      <c r="D66" s="42" t="n"/>
      <c r="E66" s="42" t="n"/>
      <c r="F66" s="42" t="n"/>
      <c r="G66" s="42" t="n"/>
      <c r="H66" s="42" t="n"/>
      <c r="I66" s="42" t="n"/>
      <c r="J66" s="42" t="n"/>
      <c r="K66" s="42" t="n"/>
      <c r="L66" s="42" t="n"/>
      <c r="M66" s="42" t="n"/>
      <c r="N66" s="42" t="n"/>
      <c r="O66" s="42" t="n"/>
      <c r="P66" s="62" t="n"/>
      <c r="Q66" s="43" t="n"/>
    </row>
    <row r="67">
      <c r="A67" s="61" t="n"/>
      <c r="B67" s="42" t="n"/>
      <c r="C67" s="42" t="n"/>
      <c r="D67" s="42" t="n"/>
      <c r="E67" s="42" t="n"/>
      <c r="F67" s="42" t="n"/>
      <c r="G67" s="42" t="n"/>
      <c r="H67" s="42" t="n"/>
      <c r="I67" s="42" t="n"/>
      <c r="J67" s="42" t="n"/>
      <c r="K67" s="42" t="n"/>
      <c r="L67" s="42" t="n"/>
      <c r="M67" s="42" t="n"/>
      <c r="N67" s="42" t="n"/>
      <c r="O67" s="42" t="n"/>
      <c r="P67" s="62" t="n"/>
      <c r="Q67" s="43" t="n"/>
    </row>
    <row r="68">
      <c r="A68" s="61" t="n"/>
      <c r="B68" s="42" t="n"/>
      <c r="C68" s="42" t="n"/>
      <c r="D68" s="42" t="n"/>
      <c r="E68" s="42" t="n"/>
      <c r="F68" s="42" t="n"/>
      <c r="G68" s="42" t="n"/>
      <c r="H68" s="42" t="n"/>
      <c r="I68" s="42" t="n"/>
      <c r="J68" s="42" t="n"/>
      <c r="K68" s="42" t="n"/>
      <c r="L68" s="42" t="n"/>
      <c r="M68" s="42" t="n"/>
      <c r="N68" s="42" t="n"/>
      <c r="O68" s="42" t="n"/>
      <c r="P68" s="62" t="n"/>
      <c r="Q68" s="43" t="n"/>
    </row>
    <row r="69">
      <c r="A69" s="61" t="n"/>
      <c r="B69" s="42" t="n"/>
      <c r="C69" s="42" t="n"/>
      <c r="D69" s="42" t="n"/>
      <c r="E69" s="42" t="n"/>
      <c r="F69" s="42" t="n"/>
      <c r="G69" s="42" t="n"/>
      <c r="H69" s="42" t="n"/>
      <c r="I69" s="42" t="n"/>
      <c r="J69" s="42" t="n"/>
      <c r="K69" s="42" t="n"/>
      <c r="L69" s="42" t="n"/>
      <c r="M69" s="42" t="n"/>
      <c r="N69" s="42" t="n"/>
      <c r="O69" s="42" t="n"/>
      <c r="P69" s="62" t="n"/>
      <c r="Q69" s="43" t="n"/>
    </row>
    <row r="70">
      <c r="A70" s="61" t="n"/>
      <c r="B70" s="42" t="n"/>
      <c r="C70" s="42" t="n"/>
      <c r="D70" s="42" t="n"/>
      <c r="E70" s="42" t="n"/>
      <c r="F70" s="42" t="n"/>
      <c r="G70" s="42" t="n"/>
      <c r="H70" s="42" t="n"/>
      <c r="I70" s="42" t="n"/>
      <c r="J70" s="42" t="n"/>
      <c r="K70" s="42" t="n"/>
      <c r="L70" s="42" t="n"/>
      <c r="M70" s="42" t="n"/>
      <c r="N70" s="42" t="n"/>
      <c r="O70" s="42" t="n"/>
      <c r="P70" s="62" t="n"/>
      <c r="Q70" s="43" t="n"/>
    </row>
    <row r="71">
      <c r="A71" s="61" t="n"/>
      <c r="B71" s="42" t="n"/>
      <c r="C71" s="42" t="n"/>
      <c r="D71" s="42" t="n"/>
      <c r="E71" s="42" t="n"/>
      <c r="F71" s="42" t="n"/>
      <c r="G71" s="42" t="n"/>
      <c r="H71" s="42" t="n"/>
      <c r="I71" s="42" t="n"/>
      <c r="J71" s="42" t="n"/>
      <c r="K71" s="42" t="n"/>
      <c r="L71" s="42" t="n"/>
      <c r="M71" s="42" t="n"/>
      <c r="N71" s="42" t="n"/>
      <c r="O71" s="42" t="n"/>
      <c r="P71" s="62" t="n"/>
      <c r="Q71" s="43" t="n"/>
    </row>
    <row r="72">
      <c r="A72" s="61" t="n"/>
      <c r="B72" s="42" t="n"/>
      <c r="C72" s="42" t="n"/>
      <c r="D72" s="42" t="n"/>
      <c r="E72" s="42" t="n"/>
      <c r="F72" s="42" t="n"/>
      <c r="G72" s="42" t="n"/>
      <c r="H72" s="42" t="n"/>
      <c r="I72" s="42" t="n"/>
      <c r="J72" s="42" t="n"/>
      <c r="K72" s="42" t="n"/>
      <c r="L72" s="42" t="n"/>
      <c r="M72" s="42" t="n"/>
      <c r="N72" s="42" t="n"/>
      <c r="O72" s="42" t="n"/>
      <c r="P72" s="62" t="n"/>
      <c r="Q72" s="43" t="n"/>
    </row>
    <row r="73">
      <c r="A73" s="61" t="n"/>
      <c r="B73" s="42" t="n"/>
      <c r="C73" s="42" t="n"/>
      <c r="D73" s="42" t="n"/>
      <c r="E73" s="42" t="n"/>
      <c r="F73" s="42" t="n"/>
      <c r="G73" s="42" t="n"/>
      <c r="H73" s="42" t="n"/>
      <c r="I73" s="42" t="n"/>
      <c r="J73" s="42" t="n"/>
      <c r="K73" s="42" t="n"/>
      <c r="L73" s="42" t="n"/>
      <c r="M73" s="42" t="n"/>
      <c r="N73" s="42" t="n"/>
      <c r="O73" s="42" t="n"/>
      <c r="P73" s="62" t="n"/>
      <c r="Q73" s="43" t="n"/>
    </row>
    <row r="74">
      <c r="A74" s="61" t="n"/>
      <c r="B74" s="42" t="n"/>
      <c r="C74" s="42" t="n"/>
      <c r="D74" s="42" t="n"/>
      <c r="E74" s="42" t="n"/>
      <c r="F74" s="42" t="n"/>
      <c r="G74" s="42" t="n"/>
      <c r="H74" s="42" t="n"/>
      <c r="I74" s="42" t="n"/>
      <c r="J74" s="42" t="n"/>
      <c r="K74" s="42" t="n"/>
      <c r="L74" s="42" t="n"/>
      <c r="M74" s="42" t="n"/>
      <c r="N74" s="42" t="n"/>
      <c r="O74" s="42" t="n"/>
      <c r="P74" s="62" t="n"/>
      <c r="Q74" s="43" t="n"/>
    </row>
    <row r="75">
      <c r="A75" s="61" t="n"/>
      <c r="B75" s="42" t="n"/>
      <c r="C75" s="42" t="n"/>
      <c r="D75" s="42" t="n"/>
      <c r="E75" s="42" t="n"/>
      <c r="F75" s="42" t="n"/>
      <c r="G75" s="42" t="n"/>
      <c r="H75" s="42" t="n"/>
      <c r="I75" s="42" t="n"/>
      <c r="J75" s="42" t="n"/>
      <c r="K75" s="42" t="n"/>
      <c r="L75" s="42" t="n"/>
      <c r="M75" s="42" t="n"/>
      <c r="N75" s="42" t="n"/>
      <c r="O75" s="42" t="n"/>
      <c r="P75" s="62" t="n"/>
      <c r="Q75" s="43" t="n"/>
    </row>
    <row r="76">
      <c r="A76" s="61" t="n"/>
      <c r="B76" s="42" t="n"/>
      <c r="C76" s="42" t="n"/>
      <c r="D76" s="42" t="n"/>
      <c r="E76" s="42" t="n"/>
      <c r="F76" s="42" t="n"/>
      <c r="G76" s="42" t="n"/>
      <c r="H76" s="42" t="n"/>
      <c r="I76" s="42" t="n"/>
      <c r="J76" s="42" t="n"/>
      <c r="K76" s="42" t="n"/>
      <c r="L76" s="42" t="n"/>
      <c r="M76" s="42" t="n"/>
      <c r="N76" s="42" t="n"/>
      <c r="O76" s="42" t="n"/>
      <c r="P76" s="62" t="n"/>
      <c r="Q76" s="43" t="n"/>
    </row>
    <row r="77">
      <c r="A77" s="61" t="n"/>
      <c r="B77" s="42" t="n"/>
      <c r="C77" s="42" t="n"/>
      <c r="D77" s="42" t="n"/>
      <c r="E77" s="42" t="n"/>
      <c r="F77" s="42" t="n"/>
      <c r="G77" s="42" t="n"/>
      <c r="H77" s="42" t="n"/>
      <c r="I77" s="42" t="n"/>
      <c r="J77" s="42" t="n"/>
      <c r="K77" s="42" t="n"/>
      <c r="L77" s="42" t="n"/>
      <c r="M77" s="42" t="n"/>
      <c r="N77" s="42" t="n"/>
      <c r="O77" s="42" t="n"/>
      <c r="P77" s="62" t="n"/>
      <c r="Q77" s="43" t="n"/>
    </row>
    <row r="78">
      <c r="A78" s="61" t="n"/>
      <c r="B78" s="42" t="n"/>
      <c r="C78" s="42" t="n"/>
      <c r="D78" s="42" t="n"/>
      <c r="E78" s="42" t="n"/>
      <c r="F78" s="42" t="n"/>
      <c r="G78" s="42" t="n"/>
      <c r="H78" s="42" t="n"/>
      <c r="I78" s="42" t="n"/>
      <c r="J78" s="42" t="n"/>
      <c r="K78" s="42" t="n"/>
      <c r="L78" s="42" t="n"/>
      <c r="M78" s="42" t="n"/>
      <c r="N78" s="42" t="n"/>
      <c r="O78" s="42" t="n"/>
      <c r="P78" s="62" t="n"/>
      <c r="Q78" s="43" t="n"/>
    </row>
    <row r="79">
      <c r="A79" s="61" t="n"/>
      <c r="B79" s="42" t="n"/>
      <c r="C79" s="42" t="n"/>
      <c r="D79" s="42" t="n"/>
      <c r="E79" s="42" t="n"/>
      <c r="F79" s="42" t="n"/>
      <c r="G79" s="42" t="n"/>
      <c r="H79" s="42" t="n"/>
      <c r="I79" s="42" t="n"/>
      <c r="J79" s="42" t="n"/>
      <c r="K79" s="42" t="n"/>
      <c r="L79" s="42" t="n"/>
      <c r="M79" s="42" t="n"/>
      <c r="N79" s="42" t="n"/>
      <c r="O79" s="42" t="n"/>
      <c r="P79" s="62" t="n"/>
      <c r="Q79" s="43" t="n"/>
    </row>
    <row r="80">
      <c r="A80" s="61" t="n"/>
      <c r="B80" s="42" t="n"/>
      <c r="C80" s="42" t="n"/>
      <c r="D80" s="42" t="n"/>
      <c r="E80" s="42" t="n"/>
      <c r="F80" s="42" t="n"/>
      <c r="G80" s="42" t="n"/>
      <c r="H80" s="42" t="n"/>
      <c r="I80" s="42" t="n"/>
      <c r="J80" s="42" t="n"/>
      <c r="K80" s="42" t="n"/>
      <c r="L80" s="42" t="n"/>
      <c r="M80" s="42" t="n"/>
      <c r="N80" s="42" t="n"/>
      <c r="O80" s="42" t="n"/>
      <c r="P80" s="62" t="n"/>
      <c r="Q80" s="43" t="n"/>
    </row>
    <row r="81">
      <c r="A81" s="61" t="n"/>
      <c r="B81" s="42" t="n"/>
      <c r="C81" s="42" t="n"/>
      <c r="D81" s="42" t="n"/>
      <c r="E81" s="42" t="n"/>
      <c r="F81" s="42" t="n"/>
      <c r="G81" s="42" t="n"/>
      <c r="H81" s="42" t="n"/>
      <c r="I81" s="42" t="n"/>
      <c r="J81" s="42" t="n"/>
      <c r="K81" s="42" t="n"/>
      <c r="L81" s="42" t="n"/>
      <c r="M81" s="42" t="n"/>
      <c r="N81" s="42" t="n"/>
      <c r="O81" s="42" t="n"/>
      <c r="P81" s="62" t="n"/>
      <c r="Q81" s="43" t="n"/>
    </row>
    <row r="82">
      <c r="A82" s="61" t="n"/>
      <c r="B82" s="42" t="n"/>
      <c r="C82" s="42" t="n"/>
      <c r="D82" s="42" t="n"/>
      <c r="E82" s="42" t="n"/>
      <c r="F82" s="42" t="n"/>
      <c r="G82" s="42" t="n"/>
      <c r="H82" s="42" t="n"/>
      <c r="I82" s="42" t="n"/>
      <c r="J82" s="42" t="n"/>
      <c r="K82" s="42" t="n"/>
      <c r="L82" s="42" t="n"/>
      <c r="M82" s="42" t="n"/>
      <c r="N82" s="42" t="n"/>
      <c r="O82" s="42" t="n"/>
      <c r="P82" s="62" t="n"/>
      <c r="Q82" s="43" t="n"/>
    </row>
    <row r="83">
      <c r="A83" s="61" t="n"/>
      <c r="B83" s="42" t="n"/>
      <c r="C83" s="42" t="n"/>
      <c r="D83" s="42" t="n"/>
      <c r="E83" s="42" t="n"/>
      <c r="F83" s="42" t="n"/>
      <c r="G83" s="42" t="n"/>
      <c r="H83" s="42" t="n"/>
      <c r="I83" s="42" t="n"/>
      <c r="J83" s="42" t="n"/>
      <c r="K83" s="42" t="n"/>
      <c r="L83" s="42" t="n"/>
      <c r="M83" s="42" t="n"/>
      <c r="N83" s="42" t="n"/>
      <c r="O83" s="42" t="n"/>
      <c r="P83" s="62" t="n"/>
      <c r="Q83" s="43" t="n"/>
    </row>
    <row r="84">
      <c r="A84" s="61" t="n"/>
      <c r="B84" s="42" t="n"/>
      <c r="C84" s="42" t="n"/>
      <c r="D84" s="42" t="n"/>
      <c r="E84" s="42" t="n"/>
      <c r="F84" s="42" t="n"/>
      <c r="G84" s="42" t="n"/>
      <c r="H84" s="42" t="n"/>
      <c r="I84" s="42" t="n"/>
      <c r="J84" s="42" t="n"/>
      <c r="K84" s="42" t="n"/>
      <c r="L84" s="42" t="n"/>
      <c r="M84" s="42" t="n"/>
      <c r="N84" s="42" t="n"/>
      <c r="O84" s="42" t="n"/>
      <c r="P84" s="62" t="n"/>
      <c r="Q84" s="43" t="n"/>
    </row>
    <row r="85">
      <c r="A85" s="61" t="n"/>
      <c r="B85" s="42" t="n"/>
      <c r="C85" s="42" t="n"/>
      <c r="D85" s="42" t="n"/>
      <c r="E85" s="42" t="n"/>
      <c r="F85" s="42" t="n"/>
      <c r="G85" s="42" t="n"/>
      <c r="H85" s="42" t="n"/>
      <c r="I85" s="42" t="n"/>
      <c r="J85" s="42" t="n"/>
      <c r="K85" s="42" t="n"/>
      <c r="L85" s="42" t="n"/>
      <c r="M85" s="42" t="n"/>
      <c r="N85" s="42" t="n"/>
      <c r="O85" s="42" t="n"/>
      <c r="P85" s="62" t="n"/>
      <c r="Q85" s="43" t="n"/>
    </row>
    <row r="86">
      <c r="A86" s="61" t="n"/>
      <c r="B86" s="42" t="n"/>
      <c r="C86" s="42" t="n"/>
      <c r="D86" s="42" t="n"/>
      <c r="E86" s="42" t="n"/>
      <c r="F86" s="42" t="n"/>
      <c r="G86" s="42" t="n"/>
      <c r="H86" s="42" t="n"/>
      <c r="I86" s="42" t="n"/>
      <c r="J86" s="42" t="n"/>
      <c r="K86" s="42" t="n"/>
      <c r="L86" s="42" t="n"/>
      <c r="M86" s="42" t="n"/>
      <c r="N86" s="42" t="n"/>
      <c r="O86" s="42" t="n"/>
      <c r="P86" s="62" t="n"/>
      <c r="Q86" s="43" t="n"/>
    </row>
    <row r="87">
      <c r="A87" s="61" t="n"/>
      <c r="B87" s="42" t="n"/>
      <c r="C87" s="42" t="n"/>
      <c r="D87" s="42" t="n"/>
      <c r="E87" s="42" t="n"/>
      <c r="F87" s="42" t="n"/>
      <c r="G87" s="42" t="n"/>
      <c r="H87" s="42" t="n"/>
      <c r="I87" s="42" t="n"/>
      <c r="J87" s="42" t="n"/>
      <c r="K87" s="42" t="n"/>
      <c r="L87" s="42" t="n"/>
      <c r="M87" s="42" t="n"/>
      <c r="N87" s="42" t="n"/>
      <c r="O87" s="42" t="n"/>
      <c r="P87" s="62" t="n"/>
      <c r="Q87" s="43" t="n"/>
    </row>
    <row r="88">
      <c r="A88" s="61" t="n"/>
      <c r="B88" s="42" t="n"/>
      <c r="C88" s="42" t="n"/>
      <c r="D88" s="42" t="n"/>
      <c r="E88" s="42" t="n"/>
      <c r="F88" s="42" t="n"/>
      <c r="G88" s="42" t="n"/>
      <c r="H88" s="42" t="n"/>
      <c r="I88" s="42" t="n"/>
      <c r="J88" s="42" t="n"/>
      <c r="K88" s="42" t="n"/>
      <c r="L88" s="42" t="n"/>
      <c r="M88" s="42" t="n"/>
      <c r="N88" s="42" t="n"/>
      <c r="O88" s="42" t="n"/>
      <c r="P88" s="62" t="n"/>
      <c r="Q88" s="43" t="n"/>
    </row>
    <row r="89">
      <c r="A89" s="61" t="n"/>
      <c r="B89" s="42" t="n"/>
      <c r="C89" s="42" t="n"/>
      <c r="D89" s="42" t="n"/>
      <c r="E89" s="42" t="n"/>
      <c r="F89" s="42" t="n"/>
      <c r="G89" s="42" t="n"/>
      <c r="H89" s="42" t="n"/>
      <c r="I89" s="42" t="n"/>
      <c r="J89" s="42" t="n"/>
      <c r="K89" s="42" t="n"/>
      <c r="L89" s="42" t="n"/>
      <c r="M89" s="42" t="n"/>
      <c r="N89" s="42" t="n"/>
      <c r="O89" s="42" t="n"/>
      <c r="P89" s="62" t="n"/>
      <c r="Q89" s="43" t="n"/>
    </row>
    <row r="90">
      <c r="A90" s="61" t="n"/>
      <c r="B90" s="42" t="n"/>
      <c r="C90" s="42" t="n"/>
      <c r="D90" s="42" t="n"/>
      <c r="E90" s="42" t="n"/>
      <c r="F90" s="42" t="n"/>
      <c r="G90" s="42" t="n"/>
      <c r="H90" s="42" t="n"/>
      <c r="I90" s="42" t="n"/>
      <c r="J90" s="42" t="n"/>
      <c r="K90" s="42" t="n"/>
      <c r="L90" s="42" t="n"/>
      <c r="M90" s="42" t="n"/>
      <c r="N90" s="42" t="n"/>
      <c r="O90" s="42" t="n"/>
      <c r="P90" s="62" t="n"/>
      <c r="Q90" s="43" t="n"/>
    </row>
    <row r="91">
      <c r="A91" s="61" t="n"/>
      <c r="B91" s="42" t="n"/>
      <c r="C91" s="42" t="n"/>
      <c r="D91" s="42" t="n"/>
      <c r="E91" s="42" t="n"/>
      <c r="F91" s="42" t="n"/>
      <c r="G91" s="42" t="n"/>
      <c r="H91" s="42" t="n"/>
      <c r="I91" s="42" t="n"/>
      <c r="J91" s="42" t="n"/>
      <c r="K91" s="42" t="n"/>
      <c r="L91" s="42" t="n"/>
      <c r="M91" s="42" t="n"/>
      <c r="N91" s="42" t="n"/>
      <c r="O91" s="42" t="n"/>
      <c r="P91" s="62" t="n"/>
      <c r="Q91" s="43" t="n"/>
    </row>
    <row r="92">
      <c r="A92" s="61" t="n"/>
      <c r="B92" s="42" t="n"/>
      <c r="C92" s="42" t="n"/>
      <c r="D92" s="42" t="n"/>
      <c r="E92" s="42" t="n"/>
      <c r="F92" s="42" t="n"/>
      <c r="G92" s="42" t="n"/>
      <c r="H92" s="42" t="n"/>
      <c r="I92" s="42" t="n"/>
      <c r="J92" s="42" t="n"/>
      <c r="K92" s="42" t="n"/>
      <c r="L92" s="42" t="n"/>
      <c r="M92" s="42" t="n"/>
      <c r="N92" s="42" t="n"/>
      <c r="O92" s="42" t="n"/>
      <c r="P92" s="62" t="n"/>
      <c r="Q92" s="43" t="n"/>
    </row>
    <row r="93">
      <c r="A93" s="61" t="n"/>
      <c r="B93" s="42" t="n"/>
      <c r="C93" s="42" t="n"/>
      <c r="D93" s="42" t="n"/>
      <c r="E93" s="42" t="n"/>
      <c r="F93" s="42" t="n"/>
      <c r="G93" s="42" t="n"/>
      <c r="H93" s="42" t="n"/>
      <c r="I93" s="42" t="n"/>
      <c r="J93" s="42" t="n"/>
      <c r="K93" s="42" t="n"/>
      <c r="L93" s="42" t="n"/>
      <c r="M93" s="42" t="n"/>
      <c r="N93" s="42" t="n"/>
      <c r="O93" s="42" t="n"/>
      <c r="P93" s="62" t="n"/>
      <c r="Q93" s="43" t="n"/>
    </row>
    <row r="94">
      <c r="A94" s="61" t="n"/>
      <c r="B94" s="42" t="n"/>
      <c r="C94" s="42" t="n"/>
      <c r="D94" s="42" t="n"/>
      <c r="E94" s="42" t="n"/>
      <c r="F94" s="42" t="n"/>
      <c r="G94" s="42" t="n"/>
      <c r="H94" s="42" t="n"/>
      <c r="I94" s="42" t="n"/>
      <c r="J94" s="42" t="n"/>
      <c r="K94" s="42" t="n"/>
      <c r="L94" s="42" t="n"/>
      <c r="M94" s="42" t="n"/>
      <c r="N94" s="42" t="n"/>
      <c r="O94" s="42" t="n"/>
      <c r="P94" s="62" t="n"/>
      <c r="Q94" s="43" t="n"/>
    </row>
    <row r="95">
      <c r="A95" s="61" t="n"/>
      <c r="B95" s="42" t="n"/>
      <c r="C95" s="42" t="n"/>
      <c r="D95" s="42" t="n"/>
      <c r="E95" s="42" t="n"/>
      <c r="F95" s="42" t="n"/>
      <c r="G95" s="42" t="n"/>
      <c r="H95" s="42" t="n"/>
      <c r="I95" s="42" t="n"/>
      <c r="J95" s="42" t="n"/>
      <c r="K95" s="42" t="n"/>
      <c r="L95" s="42" t="n"/>
      <c r="M95" s="42" t="n"/>
      <c r="N95" s="42" t="n"/>
      <c r="O95" s="42" t="n"/>
      <c r="P95" s="62" t="n"/>
      <c r="Q95" s="43" t="n"/>
    </row>
    <row r="96">
      <c r="A96" s="61" t="n"/>
      <c r="B96" s="42" t="n"/>
      <c r="C96" s="42" t="n"/>
      <c r="D96" s="42" t="n"/>
      <c r="E96" s="42" t="n"/>
      <c r="F96" s="42" t="n"/>
      <c r="G96" s="42" t="n"/>
      <c r="H96" s="42" t="n"/>
      <c r="I96" s="42" t="n"/>
      <c r="J96" s="42" t="n"/>
      <c r="K96" s="42" t="n"/>
      <c r="L96" s="42" t="n"/>
      <c r="M96" s="42" t="n"/>
      <c r="N96" s="42" t="n"/>
      <c r="O96" s="42" t="n"/>
      <c r="P96" s="62" t="n"/>
      <c r="Q96" s="43" t="n"/>
    </row>
    <row r="97">
      <c r="A97" s="61" t="n"/>
      <c r="B97" s="42" t="n"/>
      <c r="C97" s="42" t="n"/>
      <c r="D97" s="42" t="n"/>
      <c r="E97" s="42" t="n"/>
      <c r="F97" s="42" t="n"/>
      <c r="G97" s="42" t="n"/>
      <c r="H97" s="42" t="n"/>
      <c r="I97" s="42" t="n"/>
      <c r="J97" s="42" t="n"/>
      <c r="K97" s="42" t="n"/>
      <c r="L97" s="42" t="n"/>
      <c r="M97" s="42" t="n"/>
      <c r="N97" s="42" t="n"/>
      <c r="O97" s="42" t="n"/>
      <c r="P97" s="62" t="n"/>
      <c r="Q97" s="43" t="n"/>
    </row>
    <row r="98">
      <c r="A98" s="61" t="n"/>
      <c r="B98" s="42" t="n"/>
      <c r="C98" s="42" t="n"/>
      <c r="D98" s="42" t="n"/>
      <c r="E98" s="42" t="n"/>
      <c r="F98" s="42" t="n"/>
      <c r="G98" s="42" t="n"/>
      <c r="H98" s="42" t="n"/>
      <c r="I98" s="42" t="n"/>
      <c r="J98" s="42" t="n"/>
      <c r="K98" s="42" t="n"/>
      <c r="L98" s="42" t="n"/>
      <c r="M98" s="42" t="n"/>
      <c r="N98" s="42" t="n"/>
      <c r="O98" s="42" t="n"/>
      <c r="P98" s="62" t="n"/>
      <c r="Q98" s="43" t="n"/>
    </row>
    <row r="99">
      <c r="A99" s="61" t="n"/>
      <c r="B99" s="42" t="n"/>
      <c r="C99" s="42" t="n"/>
      <c r="D99" s="42" t="n"/>
      <c r="E99" s="42" t="n"/>
      <c r="F99" s="42" t="n"/>
      <c r="G99" s="42" t="n"/>
      <c r="H99" s="42" t="n"/>
      <c r="I99" s="42" t="n"/>
      <c r="J99" s="42" t="n"/>
      <c r="K99" s="42" t="n"/>
      <c r="L99" s="42" t="n"/>
      <c r="M99" s="42" t="n"/>
      <c r="N99" s="42" t="n"/>
      <c r="O99" s="42" t="n"/>
      <c r="P99" s="62" t="n"/>
      <c r="Q99" s="43" t="n"/>
    </row>
    <row r="100">
      <c r="A100" s="61" t="n"/>
      <c r="B100" s="42" t="n"/>
      <c r="C100" s="42" t="n"/>
      <c r="D100" s="42" t="n"/>
      <c r="E100" s="42" t="n"/>
      <c r="F100" s="42" t="n"/>
      <c r="G100" s="42" t="n"/>
      <c r="H100" s="42" t="n"/>
      <c r="I100" s="42" t="n"/>
      <c r="J100" s="42" t="n"/>
      <c r="K100" s="42" t="n"/>
      <c r="L100" s="42" t="n"/>
      <c r="M100" s="42" t="n"/>
      <c r="N100" s="42" t="n"/>
      <c r="O100" s="42" t="n"/>
      <c r="P100" s="62" t="n"/>
      <c r="Q100" s="43" t="n"/>
    </row>
    <row r="101">
      <c r="A101" s="61" t="n"/>
      <c r="B101" s="42" t="n"/>
      <c r="C101" s="42" t="n"/>
      <c r="D101" s="42" t="n"/>
      <c r="E101" s="42" t="n"/>
      <c r="F101" s="42" t="n"/>
      <c r="G101" s="42" t="n"/>
      <c r="H101" s="42" t="n"/>
      <c r="I101" s="42" t="n"/>
      <c r="J101" s="42" t="n"/>
      <c r="K101" s="42" t="n"/>
      <c r="L101" s="42" t="n"/>
      <c r="M101" s="42" t="n"/>
      <c r="N101" s="42" t="n"/>
      <c r="O101" s="42" t="n"/>
      <c r="P101" s="62" t="n"/>
      <c r="Q101" s="43" t="n"/>
    </row>
    <row r="102">
      <c r="A102" s="61" t="n"/>
      <c r="B102" s="42" t="n"/>
      <c r="C102" s="42" t="n"/>
      <c r="D102" s="42" t="n"/>
      <c r="E102" s="42" t="n"/>
      <c r="F102" s="42" t="n"/>
      <c r="G102" s="42" t="n"/>
      <c r="H102" s="42" t="n"/>
      <c r="I102" s="42" t="n"/>
      <c r="J102" s="42" t="n"/>
      <c r="K102" s="42" t="n"/>
      <c r="L102" s="42" t="n"/>
      <c r="M102" s="42" t="n"/>
      <c r="N102" s="42" t="n"/>
      <c r="O102" s="42" t="n"/>
      <c r="P102" s="62" t="n"/>
      <c r="Q102" s="43" t="n"/>
    </row>
    <row r="103">
      <c r="A103" s="61" t="n"/>
      <c r="B103" s="42" t="n"/>
      <c r="C103" s="42" t="n"/>
      <c r="D103" s="42" t="n"/>
      <c r="E103" s="42" t="n"/>
      <c r="F103" s="42" t="n"/>
      <c r="G103" s="42" t="n"/>
      <c r="H103" s="42" t="n"/>
      <c r="I103" s="42" t="n"/>
      <c r="J103" s="42" t="n"/>
      <c r="K103" s="42" t="n"/>
      <c r="L103" s="42" t="n"/>
      <c r="M103" s="42" t="n"/>
      <c r="N103" s="42" t="n"/>
      <c r="O103" s="42" t="n"/>
      <c r="P103" s="62" t="n"/>
      <c r="Q103" s="43" t="n"/>
    </row>
    <row r="104">
      <c r="A104" s="63" t="n"/>
      <c r="B104" s="45" t="n"/>
      <c r="C104" s="45" t="n"/>
      <c r="D104" s="45" t="n"/>
      <c r="E104" s="45" t="n"/>
      <c r="F104" s="45" t="n"/>
      <c r="G104" s="45" t="n"/>
      <c r="H104" s="45" t="n"/>
      <c r="I104" s="45" t="n"/>
      <c r="J104" s="45" t="n"/>
      <c r="K104" s="45" t="n"/>
      <c r="L104" s="45" t="n"/>
      <c r="M104" s="45" t="n"/>
      <c r="N104" s="45" t="n"/>
      <c r="O104" s="45" t="n"/>
      <c r="P104" s="64" t="n"/>
      <c r="Q104" s="46" t="n"/>
    </row>
    <row r="105">
      <c r="A105" s="54" t="n"/>
      <c r="B105" s="54" t="n"/>
      <c r="C105" s="54" t="n"/>
      <c r="D105" s="54" t="n"/>
      <c r="E105" s="54" t="n"/>
      <c r="F105" s="54" t="n"/>
      <c r="G105" s="54" t="n"/>
      <c r="H105" s="54" t="n"/>
      <c r="I105" s="54" t="n"/>
      <c r="J105" s="54" t="n"/>
      <c r="K105" s="54" t="n"/>
      <c r="L105" s="54" t="n"/>
      <c r="M105" s="54" t="n"/>
      <c r="N105" s="54" t="n"/>
      <c r="O105" s="54" t="n"/>
      <c r="P105" s="54" t="n"/>
      <c r="Q105" s="54" t="n"/>
    </row>
    <row r="106">
      <c r="A106" s="54" t="n"/>
      <c r="B106" s="54" t="n"/>
      <c r="C106" s="54" t="n"/>
      <c r="D106" s="54" t="n"/>
      <c r="E106" s="54" t="n"/>
      <c r="F106" s="54" t="n"/>
      <c r="G106" s="54" t="n"/>
      <c r="H106" s="54" t="n"/>
      <c r="I106" s="54" t="n"/>
      <c r="J106" s="54" t="n"/>
      <c r="K106" s="54" t="n"/>
      <c r="L106" s="54" t="n"/>
      <c r="M106" s="54" t="n"/>
      <c r="N106" s="54" t="n"/>
      <c r="O106" s="54" t="n"/>
      <c r="P106" s="54" t="n"/>
      <c r="Q106" s="54" t="n"/>
    </row>
    <row r="107">
      <c r="A107" s="54" t="n"/>
      <c r="B107" s="54" t="n"/>
      <c r="C107" s="54" t="n"/>
      <c r="D107" s="54" t="n"/>
      <c r="E107" s="54" t="n"/>
      <c r="F107" s="54" t="n"/>
      <c r="G107" s="54" t="n"/>
      <c r="H107" s="54" t="n"/>
      <c r="I107" s="54" t="n"/>
      <c r="J107" s="54" t="n"/>
      <c r="K107" s="54" t="n"/>
      <c r="L107" s="54" t="n"/>
      <c r="M107" s="54" t="n"/>
      <c r="N107" s="54" t="n"/>
      <c r="O107" s="54" t="n"/>
      <c r="P107" s="54" t="n"/>
      <c r="Q107" s="54" t="n"/>
    </row>
    <row r="108">
      <c r="A108" s="54" t="n"/>
      <c r="B108" s="54" t="n"/>
      <c r="C108" s="54" t="n"/>
      <c r="D108" s="54" t="n"/>
      <c r="E108" s="54" t="n"/>
      <c r="F108" s="54" t="n"/>
      <c r="G108" s="54" t="n"/>
      <c r="H108" s="54" t="n"/>
      <c r="I108" s="54" t="n"/>
      <c r="J108" s="54" t="n"/>
      <c r="K108" s="54" t="n"/>
      <c r="L108" s="54" t="n"/>
      <c r="M108" s="54" t="n"/>
      <c r="N108" s="54" t="n"/>
      <c r="O108" s="54" t="n"/>
      <c r="P108" s="54" t="n"/>
      <c r="Q108" s="54" t="n"/>
    </row>
    <row r="109">
      <c r="A109" s="54" t="n"/>
      <c r="B109" s="54" t="n"/>
      <c r="C109" s="54" t="n"/>
      <c r="D109" s="54" t="n"/>
      <c r="E109" s="54" t="n"/>
      <c r="F109" s="54" t="n"/>
      <c r="G109" s="54" t="n"/>
      <c r="H109" s="54" t="n"/>
      <c r="I109" s="54" t="n"/>
      <c r="J109" s="54" t="n"/>
      <c r="K109" s="54" t="n"/>
      <c r="L109" s="54" t="n"/>
      <c r="M109" s="54" t="n"/>
      <c r="N109" s="54" t="n"/>
      <c r="O109" s="54" t="n"/>
      <c r="P109" s="54" t="n"/>
      <c r="Q109" s="54" t="n"/>
    </row>
    <row r="110">
      <c r="A110" s="54" t="n"/>
      <c r="B110" s="54" t="n"/>
      <c r="C110" s="54" t="n"/>
      <c r="D110" s="54" t="n"/>
      <c r="E110" s="54" t="n"/>
      <c r="F110" s="54" t="n"/>
      <c r="G110" s="54" t="n"/>
      <c r="H110" s="54" t="n"/>
      <c r="I110" s="54" t="n"/>
      <c r="J110" s="54" t="n"/>
      <c r="K110" s="54" t="n"/>
      <c r="L110" s="54" t="n"/>
      <c r="M110" s="54" t="n"/>
      <c r="N110" s="54" t="n"/>
      <c r="O110" s="54" t="n"/>
      <c r="P110" s="54" t="n"/>
      <c r="Q110" s="54" t="n"/>
    </row>
    <row r="111">
      <c r="A111" s="54" t="n"/>
      <c r="B111" s="54" t="n"/>
      <c r="C111" s="54" t="n"/>
      <c r="D111" s="54" t="n"/>
      <c r="E111" s="54" t="n"/>
      <c r="F111" s="54" t="n"/>
      <c r="G111" s="54" t="n"/>
      <c r="H111" s="54" t="n"/>
      <c r="I111" s="54" t="n"/>
      <c r="J111" s="54" t="n"/>
      <c r="K111" s="54" t="n"/>
      <c r="L111" s="54" t="n"/>
      <c r="M111" s="54" t="n"/>
      <c r="N111" s="54" t="n"/>
      <c r="O111" s="54" t="n"/>
      <c r="P111" s="54" t="n"/>
      <c r="Q111" s="54" t="n"/>
    </row>
    <row r="112">
      <c r="A112" s="54" t="n"/>
      <c r="B112" s="54" t="n"/>
      <c r="C112" s="54" t="n"/>
      <c r="D112" s="54" t="n"/>
      <c r="E112" s="54" t="n"/>
      <c r="F112" s="54" t="n"/>
      <c r="G112" s="54" t="n"/>
      <c r="H112" s="54" t="n"/>
      <c r="I112" s="54" t="n"/>
      <c r="J112" s="54" t="n"/>
      <c r="K112" s="54" t="n"/>
      <c r="L112" s="54" t="n"/>
      <c r="M112" s="54" t="n"/>
      <c r="N112" s="54" t="n"/>
      <c r="O112" s="54" t="n"/>
      <c r="P112" s="54" t="n"/>
      <c r="Q112" s="54" t="n"/>
    </row>
    <row r="113">
      <c r="A113" s="54" t="n"/>
      <c r="B113" s="54" t="n"/>
      <c r="C113" s="54" t="n"/>
      <c r="D113" s="54" t="n"/>
      <c r="E113" s="54" t="n"/>
      <c r="F113" s="54" t="n"/>
      <c r="G113" s="54" t="n"/>
      <c r="H113" s="54" t="n"/>
      <c r="I113" s="54" t="n"/>
      <c r="J113" s="54" t="n"/>
      <c r="K113" s="54" t="n"/>
      <c r="L113" s="54" t="n"/>
      <c r="M113" s="54" t="n"/>
      <c r="N113" s="54" t="n"/>
      <c r="O113" s="54" t="n"/>
      <c r="P113" s="54" t="n"/>
      <c r="Q113" s="54" t="n"/>
    </row>
    <row r="114">
      <c r="A114" s="54" t="n"/>
      <c r="B114" s="54" t="n"/>
      <c r="C114" s="54" t="n"/>
      <c r="D114" s="54" t="n"/>
      <c r="E114" s="54" t="n"/>
      <c r="F114" s="54" t="n"/>
      <c r="G114" s="54" t="n"/>
      <c r="H114" s="54" t="n"/>
      <c r="I114" s="54" t="n"/>
      <c r="J114" s="54" t="n"/>
      <c r="K114" s="54" t="n"/>
      <c r="L114" s="54" t="n"/>
      <c r="M114" s="54" t="n"/>
      <c r="N114" s="54" t="n"/>
      <c r="O114" s="54" t="n"/>
      <c r="P114" s="54" t="n"/>
      <c r="Q114" s="54" t="n"/>
    </row>
    <row r="115">
      <c r="A115" s="54" t="n"/>
      <c r="B115" s="54" t="n"/>
      <c r="C115" s="54" t="n"/>
      <c r="D115" s="54" t="n"/>
      <c r="E115" s="54" t="n"/>
      <c r="F115" s="54" t="n"/>
      <c r="G115" s="54" t="n"/>
      <c r="H115" s="54" t="n"/>
      <c r="I115" s="54" t="n"/>
      <c r="J115" s="54" t="n"/>
      <c r="K115" s="54" t="n"/>
      <c r="L115" s="54" t="n"/>
      <c r="M115" s="54" t="n"/>
      <c r="N115" s="54" t="n"/>
      <c r="O115" s="54" t="n"/>
      <c r="P115" s="54" t="n"/>
      <c r="Q115" s="54" t="n"/>
    </row>
    <row r="116">
      <c r="A116" s="54" t="n"/>
      <c r="B116" s="54" t="n"/>
      <c r="C116" s="54" t="n"/>
      <c r="D116" s="54" t="n"/>
      <c r="E116" s="54" t="n"/>
      <c r="F116" s="54" t="n"/>
      <c r="G116" s="54" t="n"/>
      <c r="H116" s="54" t="n"/>
      <c r="I116" s="54" t="n"/>
      <c r="J116" s="54" t="n"/>
      <c r="K116" s="54" t="n"/>
      <c r="L116" s="54" t="n"/>
      <c r="M116" s="54" t="n"/>
      <c r="N116" s="54" t="n"/>
      <c r="O116" s="54" t="n"/>
      <c r="P116" s="54" t="n"/>
      <c r="Q116" s="54" t="n"/>
    </row>
    <row r="117">
      <c r="A117" s="54" t="n"/>
      <c r="B117" s="54" t="n"/>
      <c r="C117" s="54" t="n"/>
      <c r="D117" s="54" t="n"/>
      <c r="E117" s="54" t="n"/>
      <c r="F117" s="54" t="n"/>
      <c r="G117" s="54" t="n"/>
      <c r="H117" s="54" t="n"/>
      <c r="I117" s="54" t="n"/>
      <c r="J117" s="54" t="n"/>
      <c r="K117" s="54" t="n"/>
      <c r="L117" s="54" t="n"/>
      <c r="M117" s="54" t="n"/>
      <c r="N117" s="54" t="n"/>
      <c r="O117" s="54" t="n"/>
      <c r="P117" s="54" t="n"/>
      <c r="Q117" s="54" t="n"/>
    </row>
    <row r="118">
      <c r="A118" s="54" t="n"/>
      <c r="B118" s="54" t="n"/>
      <c r="C118" s="54" t="n"/>
      <c r="D118" s="54" t="n"/>
      <c r="E118" s="54" t="n"/>
      <c r="F118" s="54" t="n"/>
      <c r="G118" s="54" t="n"/>
      <c r="H118" s="54" t="n"/>
      <c r="I118" s="54" t="n"/>
      <c r="J118" s="54" t="n"/>
      <c r="K118" s="54" t="n"/>
      <c r="L118" s="54" t="n"/>
      <c r="M118" s="54" t="n"/>
      <c r="N118" s="54" t="n"/>
      <c r="O118" s="54" t="n"/>
      <c r="P118" s="54" t="n"/>
      <c r="Q118" s="54" t="n"/>
    </row>
    <row r="119">
      <c r="A119" s="54" t="n"/>
      <c r="B119" s="54" t="n"/>
      <c r="C119" s="54" t="n"/>
      <c r="D119" s="54" t="n"/>
      <c r="E119" s="54" t="n"/>
      <c r="F119" s="54" t="n"/>
      <c r="G119" s="54" t="n"/>
      <c r="H119" s="54" t="n"/>
      <c r="I119" s="54" t="n"/>
      <c r="J119" s="54" t="n"/>
      <c r="K119" s="54" t="n"/>
      <c r="L119" s="54" t="n"/>
      <c r="M119" s="54" t="n"/>
      <c r="N119" s="54" t="n"/>
      <c r="O119" s="54" t="n"/>
      <c r="P119" s="54" t="n"/>
      <c r="Q119" s="54" t="n"/>
    </row>
    <row r="120">
      <c r="A120" s="54" t="n"/>
      <c r="B120" s="54" t="n"/>
      <c r="C120" s="54" t="n"/>
      <c r="D120" s="54" t="n"/>
      <c r="E120" s="54" t="n"/>
      <c r="F120" s="54" t="n"/>
      <c r="G120" s="54" t="n"/>
      <c r="H120" s="54" t="n"/>
      <c r="I120" s="54" t="n"/>
      <c r="J120" s="54" t="n"/>
      <c r="K120" s="54" t="n"/>
      <c r="L120" s="54" t="n"/>
      <c r="M120" s="54" t="n"/>
      <c r="N120" s="54" t="n"/>
      <c r="O120" s="54" t="n"/>
      <c r="P120" s="54" t="n"/>
      <c r="Q120" s="54" t="n"/>
    </row>
  </sheetData>
  <dataValidations count="4">
    <dataValidation sqref="B5:B104" showDropDown="0" showInputMessage="0" showErrorMessage="0" allowBlank="1" type="list">
      <formula1>"TikTok Creative Center,Google Trends,YouTube,Reddit"</formula1>
    </dataValidation>
    <dataValidation sqref="C5:C104" showDropDown="0" showInputMessage="0" showErrorMessage="0" allowBlank="1" type="list">
      <formula1>"US,UK,CA,AU,Global"</formula1>
    </dataValidation>
    <dataValidation sqref="M5:M104" showDropDown="0" showInputMessage="0" showErrorMessage="0" allowBlank="1" type="list">
      <formula1>"positive,negative,mixed,neutral"</formula1>
    </dataValidation>
    <dataValidation sqref="O5:O104" showDropDown="0" showInputMessage="0" showErrorMessage="0" allowBlank="1" type="list">
      <formula1>"A,B,C"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20"/>
  <sheetViews>
    <sheetView workbookViewId="0">
      <selection activeCell="A1" sqref="A1"/>
    </sheetView>
  </sheetViews>
  <sheetFormatPr baseColWidth="8" defaultRowHeight="15"/>
  <cols>
    <col width="21.11000061035156" customWidth="1" min="1" max="1"/>
    <col width="28.88999938964844" customWidth="1" min="2" max="2"/>
    <col width="28.88999938964844" customWidth="1" min="3" max="3"/>
    <col width="13.32999992370605" customWidth="1" min="4" max="4"/>
    <col width="33.33000183105469" customWidth="1" min="5" max="5"/>
    <col width="20" customWidth="1" min="6" max="6"/>
    <col width="10" customWidth="1" min="7" max="7"/>
    <col width="11.10999965667725" customWidth="1" min="8" max="8"/>
    <col width="10.5600004196167" customWidth="1" min="9" max="9"/>
    <col width="13.32999992370605" customWidth="1" min="10" max="10"/>
  </cols>
  <sheetData>
    <row r="1">
      <c r="A1" s="53" t="inlineStr">
        <is>
          <t>topic_clusters</t>
        </is>
      </c>
      <c r="B1" s="54" t="n"/>
      <c r="C1" s="54" t="n"/>
      <c r="D1" s="54" t="n"/>
      <c r="E1" s="54" t="n"/>
      <c r="F1" s="54" t="n"/>
      <c r="G1" s="54" t="n"/>
      <c r="H1" s="54" t="n"/>
      <c r="I1" s="54" t="n"/>
      <c r="J1" s="54" t="n"/>
      <c r="K1" s="54" t="n"/>
      <c r="L1" s="54" t="n"/>
      <c r="M1" s="54" t="n"/>
      <c r="N1" s="54" t="n"/>
      <c r="O1" s="54" t="n"/>
      <c r="P1" s="54" t="n"/>
      <c r="Q1" s="54" t="n"/>
    </row>
    <row r="2">
      <c r="A2" s="55" t="inlineStr">
        <is>
          <t>把多平台、多关键词信号归并为题材簇，并给出 0-100 的分项评分。</t>
        </is>
      </c>
      <c r="B2" s="54" t="n"/>
      <c r="C2" s="54" t="n"/>
      <c r="D2" s="54" t="n"/>
      <c r="E2" s="54" t="n"/>
      <c r="F2" s="54" t="n"/>
      <c r="G2" s="54" t="n"/>
      <c r="H2" s="54" t="n"/>
      <c r="I2" s="54" t="n"/>
      <c r="J2" s="54" t="n"/>
      <c r="K2" s="54" t="n"/>
      <c r="L2" s="54" t="n"/>
      <c r="M2" s="54" t="n"/>
      <c r="N2" s="54" t="n"/>
      <c r="O2" s="54" t="n"/>
      <c r="P2" s="54" t="n"/>
      <c r="Q2" s="54" t="n"/>
    </row>
    <row r="3">
      <c r="A3" s="54" t="n"/>
      <c r="B3" s="54" t="n"/>
      <c r="C3" s="54" t="n"/>
      <c r="D3" s="54" t="n"/>
      <c r="E3" s="54" t="n"/>
      <c r="F3" s="54" t="n"/>
      <c r="G3" s="54" t="n"/>
      <c r="H3" s="54" t="n"/>
      <c r="I3" s="54" t="n"/>
      <c r="J3" s="54" t="n"/>
      <c r="K3" s="54" t="n"/>
      <c r="L3" s="54" t="n"/>
      <c r="M3" s="54" t="n"/>
      <c r="N3" s="54" t="n"/>
      <c r="O3" s="54" t="n"/>
      <c r="P3" s="54" t="n"/>
      <c r="Q3" s="54" t="n"/>
    </row>
    <row r="4">
      <c r="A4" s="56" t="inlineStr">
        <is>
          <t>cluster_name</t>
        </is>
      </c>
      <c r="B4" s="57" t="inlineStr">
        <is>
          <t>trigger_event</t>
        </is>
      </c>
      <c r="C4" s="57" t="inlineStr">
        <is>
          <t>audience_pain_point</t>
        </is>
      </c>
      <c r="D4" s="57" t="inlineStr">
        <is>
          <t>dominant_emotion</t>
        </is>
      </c>
      <c r="E4" s="57" t="inlineStr">
        <is>
          <t>related_keywords</t>
        </is>
      </c>
      <c r="F4" s="57" t="inlineStr">
        <is>
          <t>platforms_seen</t>
        </is>
      </c>
      <c r="G4" s="57" t="inlineStr">
        <is>
          <t>heat_score</t>
        </is>
      </c>
      <c r="H4" s="57" t="inlineStr">
        <is>
          <t>sentiment_score</t>
        </is>
      </c>
      <c r="I4" s="57" t="inlineStr">
        <is>
          <t>novelty_score</t>
        </is>
      </c>
      <c r="J4" s="58" t="inlineStr">
        <is>
          <t>sustainability_score</t>
        </is>
      </c>
      <c r="K4" s="54" t="n"/>
      <c r="L4" s="54" t="n"/>
      <c r="M4" s="54" t="n"/>
      <c r="N4" s="54" t="n"/>
      <c r="O4" s="54" t="n"/>
      <c r="P4" s="54" t="n"/>
      <c r="Q4" s="54" t="n"/>
    </row>
    <row r="5">
      <c r="A5" s="38" t="inlineStr">
        <is>
          <t>Single mom comeback</t>
        </is>
      </c>
      <c r="B5" s="39" t="inlineStr">
        <is>
          <t>Single mom / independence / payback narratives rising</t>
        </is>
      </c>
      <c r="C5" s="39" t="inlineStr">
        <is>
          <t>被低估、被抛弃后重新掌控人生</t>
        </is>
      </c>
      <c r="D5" s="39" t="inlineStr">
        <is>
          <t>resilience</t>
        </is>
      </c>
      <c r="E5" s="39" t="inlineStr">
        <is>
          <t>single mom comeback; abandoned wife; custody battle</t>
        </is>
      </c>
      <c r="F5" s="39" t="inlineStr">
        <is>
          <t>Google Trends,TikTok</t>
        </is>
      </c>
      <c r="G5" s="39" t="n">
        <v>76</v>
      </c>
      <c r="H5" s="39" t="n">
        <v>72</v>
      </c>
      <c r="I5" s="39" t="n">
        <v>62</v>
      </c>
      <c r="J5" s="40" t="n">
        <v>68</v>
      </c>
      <c r="K5" s="54" t="n"/>
      <c r="L5" s="54" t="n"/>
      <c r="M5" s="54" t="n"/>
      <c r="N5" s="54" t="n"/>
      <c r="O5" s="54" t="n"/>
      <c r="P5" s="54" t="n"/>
      <c r="Q5" s="54" t="n"/>
    </row>
    <row r="6">
      <c r="A6" s="41" t="inlineStr">
        <is>
          <t>Cheating revenge storytime</t>
        </is>
      </c>
      <c r="B6" s="42" t="inlineStr">
        <is>
          <t>Confession and betrayal storytime hooks trend</t>
        </is>
      </c>
      <c r="C6" s="42" t="inlineStr">
        <is>
          <t>亲密关系背叛后的愤怒与复仇期待</t>
        </is>
      </c>
      <c r="D6" s="42" t="inlineStr">
        <is>
          <t>anger</t>
        </is>
      </c>
      <c r="E6" s="42" t="inlineStr">
        <is>
          <t>#cheatingstory; betrayal; revenge</t>
        </is>
      </c>
      <c r="F6" s="42" t="inlineStr">
        <is>
          <t>TikTok,Reddit</t>
        </is>
      </c>
      <c r="G6" s="42" t="n">
        <v>84</v>
      </c>
      <c r="H6" s="42" t="n">
        <v>86</v>
      </c>
      <c r="I6" s="42" t="n">
        <v>55</v>
      </c>
      <c r="J6" s="43" t="n">
        <v>61</v>
      </c>
      <c r="K6" s="54" t="n"/>
      <c r="L6" s="54" t="n"/>
      <c r="M6" s="54" t="n"/>
      <c r="N6" s="54" t="n"/>
      <c r="O6" s="54" t="n"/>
      <c r="P6" s="54" t="n"/>
      <c r="Q6" s="54" t="n"/>
    </row>
    <row r="7">
      <c r="A7" s="41" t="inlineStr">
        <is>
          <t>Toxic relationship recovery</t>
        </is>
      </c>
      <c r="B7" s="42" t="inlineStr">
        <is>
          <t>Advice/discussion threads around manipulation and breakup</t>
        </is>
      </c>
      <c r="C7" s="42" t="inlineStr">
        <is>
          <t>情感操控、PUA、逃离关系后的自我修复</t>
        </is>
      </c>
      <c r="D7" s="42" t="inlineStr">
        <is>
          <t>healing</t>
        </is>
      </c>
      <c r="E7" s="42" t="inlineStr">
        <is>
          <t>toxic relationship; gaslighting; breakup recovery</t>
        </is>
      </c>
      <c r="F7" s="42" t="inlineStr">
        <is>
          <t>Reddit,TikTok</t>
        </is>
      </c>
      <c r="G7" s="42" t="n">
        <v>69</v>
      </c>
      <c r="H7" s="42" t="n">
        <v>80</v>
      </c>
      <c r="I7" s="42" t="n">
        <v>57</v>
      </c>
      <c r="J7" s="43" t="n">
        <v>74</v>
      </c>
      <c r="K7" s="54" t="n"/>
      <c r="L7" s="54" t="n"/>
      <c r="M7" s="54" t="n"/>
      <c r="N7" s="54" t="n"/>
      <c r="O7" s="54" t="n"/>
      <c r="P7" s="54" t="n"/>
      <c r="Q7" s="54" t="n"/>
    </row>
    <row r="8">
      <c r="A8" s="41" t="inlineStr">
        <is>
          <t>Workplace justice arc</t>
        </is>
      </c>
      <c r="B8" s="42" t="inlineStr">
        <is>
          <t>Unfair boss and workplace conflict content continues to circulate</t>
        </is>
      </c>
      <c r="C8" s="42" t="inlineStr">
        <is>
          <t>职场压迫、阶层不平等、迟来的正义</t>
        </is>
      </c>
      <c r="D8" s="42" t="inlineStr">
        <is>
          <t>frustration</t>
        </is>
      </c>
      <c r="E8" s="42" t="inlineStr">
        <is>
          <t>workplace drama; bad boss; fired unfairly</t>
        </is>
      </c>
      <c r="F8" s="42" t="inlineStr">
        <is>
          <t>YouTube,TikTok,Reddit</t>
        </is>
      </c>
      <c r="G8" s="42" t="n">
        <v>64</v>
      </c>
      <c r="H8" s="42" t="n">
        <v>66</v>
      </c>
      <c r="I8" s="42" t="n">
        <v>58</v>
      </c>
      <c r="J8" s="43" t="n">
        <v>72</v>
      </c>
      <c r="K8" s="54" t="n"/>
      <c r="L8" s="54" t="n"/>
      <c r="M8" s="54" t="n"/>
      <c r="N8" s="54" t="n"/>
      <c r="O8" s="54" t="n"/>
      <c r="P8" s="54" t="n"/>
      <c r="Q8" s="54" t="n"/>
    </row>
    <row r="9">
      <c r="A9" s="41" t="inlineStr">
        <is>
          <t>Mafia forbidden romance</t>
        </is>
      </c>
      <c r="B9" s="42" t="inlineStr">
        <is>
          <t>Dangerous romance and forbidden-love hooks</t>
        </is>
      </c>
      <c r="C9" s="42" t="inlineStr">
        <is>
          <t>高风险关系里的安全感、欲望与权力幻想</t>
        </is>
      </c>
      <c r="D9" s="42" t="inlineStr">
        <is>
          <t>desire</t>
        </is>
      </c>
      <c r="E9" s="42" t="inlineStr">
        <is>
          <t>mafia romance; forbidden love; dangerous boyfriend</t>
        </is>
      </c>
      <c r="F9" s="42" t="inlineStr">
        <is>
          <t>TikTok</t>
        </is>
      </c>
      <c r="G9" s="42" t="n">
        <v>58</v>
      </c>
      <c r="H9" s="42" t="n">
        <v>74</v>
      </c>
      <c r="I9" s="42" t="n">
        <v>51</v>
      </c>
      <c r="J9" s="43" t="n">
        <v>60</v>
      </c>
      <c r="K9" s="54" t="n"/>
      <c r="L9" s="54" t="n"/>
      <c r="M9" s="54" t="n"/>
      <c r="N9" s="54" t="n"/>
      <c r="O9" s="54" t="n"/>
      <c r="P9" s="54" t="n"/>
      <c r="Q9" s="54" t="n"/>
    </row>
    <row r="10">
      <c r="A10" s="41" t="inlineStr">
        <is>
          <t>Werewolf rejected mate</t>
        </is>
      </c>
      <c r="B10" s="42" t="inlineStr">
        <is>
          <t>Fantasy soulmate/rejection arcs show durable demand</t>
        </is>
      </c>
      <c r="C10" s="42" t="inlineStr">
        <is>
          <t>被命定伴侣拒绝后的逆袭与再选择</t>
        </is>
      </c>
      <c r="D10" s="42" t="inlineStr">
        <is>
          <t>longing</t>
        </is>
      </c>
      <c r="E10" s="42" t="inlineStr">
        <is>
          <t>werewolf mate; rejected mate; alpha romance</t>
        </is>
      </c>
      <c r="F10" s="42" t="inlineStr">
        <is>
          <t>Google Trends,TikTok</t>
        </is>
      </c>
      <c r="G10" s="42" t="n">
        <v>62</v>
      </c>
      <c r="H10" s="42" t="n">
        <v>69</v>
      </c>
      <c r="I10" s="42" t="n">
        <v>42</v>
      </c>
      <c r="J10" s="43" t="n">
        <v>76</v>
      </c>
      <c r="K10" s="54" t="n"/>
      <c r="L10" s="54" t="n"/>
      <c r="M10" s="54" t="n"/>
      <c r="N10" s="54" t="n"/>
      <c r="O10" s="54" t="n"/>
      <c r="P10" s="54" t="n"/>
      <c r="Q10" s="54" t="n"/>
    </row>
    <row r="11">
      <c r="A11" s="41" t="n"/>
      <c r="B11" s="42" t="n"/>
      <c r="C11" s="42" t="n"/>
      <c r="D11" s="42" t="n"/>
      <c r="E11" s="42" t="n"/>
      <c r="F11" s="42" t="n"/>
      <c r="G11" s="42" t="n"/>
      <c r="H11" s="42" t="n"/>
      <c r="I11" s="42" t="n"/>
      <c r="J11" s="43" t="n"/>
      <c r="K11" s="54" t="n"/>
      <c r="L11" s="54" t="n"/>
      <c r="M11" s="54" t="n"/>
      <c r="N11" s="54" t="n"/>
      <c r="O11" s="54" t="n"/>
      <c r="P11" s="54" t="n"/>
      <c r="Q11" s="54" t="n"/>
    </row>
    <row r="12">
      <c r="A12" s="41" t="n"/>
      <c r="B12" s="42" t="n"/>
      <c r="C12" s="42" t="n"/>
      <c r="D12" s="42" t="n"/>
      <c r="E12" s="42" t="n"/>
      <c r="F12" s="42" t="n"/>
      <c r="G12" s="42" t="n"/>
      <c r="H12" s="42" t="n"/>
      <c r="I12" s="42" t="n"/>
      <c r="J12" s="43" t="n"/>
      <c r="K12" s="54" t="n"/>
      <c r="L12" s="54" t="n"/>
      <c r="M12" s="54" t="n"/>
      <c r="N12" s="54" t="n"/>
      <c r="O12" s="54" t="n"/>
      <c r="P12" s="54" t="n"/>
      <c r="Q12" s="54" t="n"/>
    </row>
    <row r="13">
      <c r="A13" s="41" t="n"/>
      <c r="B13" s="42" t="n"/>
      <c r="C13" s="42" t="n"/>
      <c r="D13" s="42" t="n"/>
      <c r="E13" s="42" t="n"/>
      <c r="F13" s="42" t="n"/>
      <c r="G13" s="42" t="n"/>
      <c r="H13" s="42" t="n"/>
      <c r="I13" s="42" t="n"/>
      <c r="J13" s="43" t="n"/>
      <c r="K13" s="54" t="n"/>
      <c r="L13" s="54" t="n"/>
      <c r="M13" s="54" t="n"/>
      <c r="N13" s="54" t="n"/>
      <c r="O13" s="54" t="n"/>
      <c r="P13" s="54" t="n"/>
      <c r="Q13" s="54" t="n"/>
    </row>
    <row r="14">
      <c r="A14" s="41" t="n"/>
      <c r="B14" s="42" t="n"/>
      <c r="C14" s="42" t="n"/>
      <c r="D14" s="42" t="n"/>
      <c r="E14" s="42" t="n"/>
      <c r="F14" s="42" t="n"/>
      <c r="G14" s="42" t="n"/>
      <c r="H14" s="42" t="n"/>
      <c r="I14" s="42" t="n"/>
      <c r="J14" s="43" t="n"/>
      <c r="K14" s="54" t="n"/>
      <c r="L14" s="54" t="n"/>
      <c r="M14" s="54" t="n"/>
      <c r="N14" s="54" t="n"/>
      <c r="O14" s="54" t="n"/>
      <c r="P14" s="54" t="n"/>
      <c r="Q14" s="54" t="n"/>
    </row>
    <row r="15">
      <c r="A15" s="41" t="n"/>
      <c r="B15" s="42" t="n"/>
      <c r="C15" s="42" t="n"/>
      <c r="D15" s="42" t="n"/>
      <c r="E15" s="42" t="n"/>
      <c r="F15" s="42" t="n"/>
      <c r="G15" s="42" t="n"/>
      <c r="H15" s="42" t="n"/>
      <c r="I15" s="42" t="n"/>
      <c r="J15" s="43" t="n"/>
      <c r="K15" s="54" t="n"/>
      <c r="L15" s="54" t="n"/>
      <c r="M15" s="54" t="n"/>
      <c r="N15" s="54" t="n"/>
      <c r="O15" s="54" t="n"/>
      <c r="P15" s="54" t="n"/>
      <c r="Q15" s="54" t="n"/>
    </row>
    <row r="16">
      <c r="A16" s="41" t="n"/>
      <c r="B16" s="42" t="n"/>
      <c r="C16" s="42" t="n"/>
      <c r="D16" s="42" t="n"/>
      <c r="E16" s="42" t="n"/>
      <c r="F16" s="42" t="n"/>
      <c r="G16" s="42" t="n"/>
      <c r="H16" s="42" t="n"/>
      <c r="I16" s="42" t="n"/>
      <c r="J16" s="43" t="n"/>
      <c r="K16" s="54" t="n"/>
      <c r="L16" s="54" t="n"/>
      <c r="M16" s="54" t="n"/>
      <c r="N16" s="54" t="n"/>
      <c r="O16" s="54" t="n"/>
      <c r="P16" s="54" t="n"/>
      <c r="Q16" s="54" t="n"/>
    </row>
    <row r="17">
      <c r="A17" s="41" t="n"/>
      <c r="B17" s="42" t="n"/>
      <c r="C17" s="42" t="n"/>
      <c r="D17" s="42" t="n"/>
      <c r="E17" s="42" t="n"/>
      <c r="F17" s="42" t="n"/>
      <c r="G17" s="42" t="n"/>
      <c r="H17" s="42" t="n"/>
      <c r="I17" s="42" t="n"/>
      <c r="J17" s="43" t="n"/>
      <c r="K17" s="54" t="n"/>
      <c r="L17" s="54" t="n"/>
      <c r="M17" s="54" t="n"/>
      <c r="N17" s="54" t="n"/>
      <c r="O17" s="54" t="n"/>
      <c r="P17" s="54" t="n"/>
      <c r="Q17" s="54" t="n"/>
    </row>
    <row r="18">
      <c r="A18" s="41" t="n"/>
      <c r="B18" s="42" t="n"/>
      <c r="C18" s="42" t="n"/>
      <c r="D18" s="42" t="n"/>
      <c r="E18" s="42" t="n"/>
      <c r="F18" s="42" t="n"/>
      <c r="G18" s="42" t="n"/>
      <c r="H18" s="42" t="n"/>
      <c r="I18" s="42" t="n"/>
      <c r="J18" s="43" t="n"/>
      <c r="K18" s="54" t="n"/>
      <c r="L18" s="54" t="n"/>
      <c r="M18" s="54" t="n"/>
      <c r="N18" s="54" t="n"/>
      <c r="O18" s="54" t="n"/>
      <c r="P18" s="54" t="n"/>
      <c r="Q18" s="54" t="n"/>
    </row>
    <row r="19">
      <c r="A19" s="41" t="n"/>
      <c r="B19" s="42" t="n"/>
      <c r="C19" s="42" t="n"/>
      <c r="D19" s="42" t="n"/>
      <c r="E19" s="42" t="n"/>
      <c r="F19" s="42" t="n"/>
      <c r="G19" s="42" t="n"/>
      <c r="H19" s="42" t="n"/>
      <c r="I19" s="42" t="n"/>
      <c r="J19" s="43" t="n"/>
      <c r="K19" s="54" t="n"/>
      <c r="L19" s="54" t="n"/>
      <c r="M19" s="54" t="n"/>
      <c r="N19" s="54" t="n"/>
      <c r="O19" s="54" t="n"/>
      <c r="P19" s="54" t="n"/>
      <c r="Q19" s="54" t="n"/>
    </row>
    <row r="20">
      <c r="A20" s="41" t="n"/>
      <c r="B20" s="42" t="n"/>
      <c r="C20" s="42" t="n"/>
      <c r="D20" s="42" t="n"/>
      <c r="E20" s="42" t="n"/>
      <c r="F20" s="42" t="n"/>
      <c r="G20" s="42" t="n"/>
      <c r="H20" s="42" t="n"/>
      <c r="I20" s="42" t="n"/>
      <c r="J20" s="43" t="n"/>
      <c r="K20" s="54" t="n"/>
      <c r="L20" s="54" t="n"/>
      <c r="M20" s="54" t="n"/>
      <c r="N20" s="54" t="n"/>
      <c r="O20" s="54" t="n"/>
      <c r="P20" s="54" t="n"/>
      <c r="Q20" s="54" t="n"/>
    </row>
    <row r="21">
      <c r="A21" s="41" t="n"/>
      <c r="B21" s="42" t="n"/>
      <c r="C21" s="42" t="n"/>
      <c r="D21" s="42" t="n"/>
      <c r="E21" s="42" t="n"/>
      <c r="F21" s="42" t="n"/>
      <c r="G21" s="42" t="n"/>
      <c r="H21" s="42" t="n"/>
      <c r="I21" s="42" t="n"/>
      <c r="J21" s="43" t="n"/>
      <c r="K21" s="54" t="n"/>
      <c r="L21" s="54" t="n"/>
      <c r="M21" s="54" t="n"/>
      <c r="N21" s="54" t="n"/>
      <c r="O21" s="54" t="n"/>
      <c r="P21" s="54" t="n"/>
      <c r="Q21" s="54" t="n"/>
    </row>
    <row r="22">
      <c r="A22" s="41" t="n"/>
      <c r="B22" s="42" t="n"/>
      <c r="C22" s="42" t="n"/>
      <c r="D22" s="42" t="n"/>
      <c r="E22" s="42" t="n"/>
      <c r="F22" s="42" t="n"/>
      <c r="G22" s="42" t="n"/>
      <c r="H22" s="42" t="n"/>
      <c r="I22" s="42" t="n"/>
      <c r="J22" s="43" t="n"/>
      <c r="K22" s="54" t="n"/>
      <c r="L22" s="54" t="n"/>
      <c r="M22" s="54" t="n"/>
      <c r="N22" s="54" t="n"/>
      <c r="O22" s="54" t="n"/>
      <c r="P22" s="54" t="n"/>
      <c r="Q22" s="54" t="n"/>
    </row>
    <row r="23">
      <c r="A23" s="41" t="n"/>
      <c r="B23" s="42" t="n"/>
      <c r="C23" s="42" t="n"/>
      <c r="D23" s="42" t="n"/>
      <c r="E23" s="42" t="n"/>
      <c r="F23" s="42" t="n"/>
      <c r="G23" s="42" t="n"/>
      <c r="H23" s="42" t="n"/>
      <c r="I23" s="42" t="n"/>
      <c r="J23" s="43" t="n"/>
      <c r="K23" s="54" t="n"/>
      <c r="L23" s="54" t="n"/>
      <c r="M23" s="54" t="n"/>
      <c r="N23" s="54" t="n"/>
      <c r="O23" s="54" t="n"/>
      <c r="P23" s="54" t="n"/>
      <c r="Q23" s="54" t="n"/>
    </row>
    <row r="24">
      <c r="A24" s="41" t="n"/>
      <c r="B24" s="42" t="n"/>
      <c r="C24" s="42" t="n"/>
      <c r="D24" s="42" t="n"/>
      <c r="E24" s="42" t="n"/>
      <c r="F24" s="42" t="n"/>
      <c r="G24" s="42" t="n"/>
      <c r="H24" s="42" t="n"/>
      <c r="I24" s="42" t="n"/>
      <c r="J24" s="43" t="n"/>
      <c r="K24" s="54" t="n"/>
      <c r="L24" s="54" t="n"/>
      <c r="M24" s="54" t="n"/>
      <c r="N24" s="54" t="n"/>
      <c r="O24" s="54" t="n"/>
      <c r="P24" s="54" t="n"/>
      <c r="Q24" s="54" t="n"/>
    </row>
    <row r="25">
      <c r="A25" s="41" t="n"/>
      <c r="B25" s="42" t="n"/>
      <c r="C25" s="42" t="n"/>
      <c r="D25" s="42" t="n"/>
      <c r="E25" s="42" t="n"/>
      <c r="F25" s="42" t="n"/>
      <c r="G25" s="42" t="n"/>
      <c r="H25" s="42" t="n"/>
      <c r="I25" s="42" t="n"/>
      <c r="J25" s="43" t="n"/>
      <c r="K25" s="54" t="n"/>
      <c r="L25" s="54" t="n"/>
      <c r="M25" s="54" t="n"/>
      <c r="N25" s="54" t="n"/>
      <c r="O25" s="54" t="n"/>
      <c r="P25" s="54" t="n"/>
      <c r="Q25" s="54" t="n"/>
    </row>
    <row r="26">
      <c r="A26" s="41" t="n"/>
      <c r="B26" s="42" t="n"/>
      <c r="C26" s="42" t="n"/>
      <c r="D26" s="42" t="n"/>
      <c r="E26" s="42" t="n"/>
      <c r="F26" s="42" t="n"/>
      <c r="G26" s="42" t="n"/>
      <c r="H26" s="42" t="n"/>
      <c r="I26" s="42" t="n"/>
      <c r="J26" s="43" t="n"/>
      <c r="K26" s="54" t="n"/>
      <c r="L26" s="54" t="n"/>
      <c r="M26" s="54" t="n"/>
      <c r="N26" s="54" t="n"/>
      <c r="O26" s="54" t="n"/>
      <c r="P26" s="54" t="n"/>
      <c r="Q26" s="54" t="n"/>
    </row>
    <row r="27">
      <c r="A27" s="41" t="n"/>
      <c r="B27" s="42" t="n"/>
      <c r="C27" s="42" t="n"/>
      <c r="D27" s="42" t="n"/>
      <c r="E27" s="42" t="n"/>
      <c r="F27" s="42" t="n"/>
      <c r="G27" s="42" t="n"/>
      <c r="H27" s="42" t="n"/>
      <c r="I27" s="42" t="n"/>
      <c r="J27" s="43" t="n"/>
      <c r="K27" s="54" t="n"/>
      <c r="L27" s="54" t="n"/>
      <c r="M27" s="54" t="n"/>
      <c r="N27" s="54" t="n"/>
      <c r="O27" s="54" t="n"/>
      <c r="P27" s="54" t="n"/>
      <c r="Q27" s="54" t="n"/>
    </row>
    <row r="28">
      <c r="A28" s="41" t="n"/>
      <c r="B28" s="42" t="n"/>
      <c r="C28" s="42" t="n"/>
      <c r="D28" s="42" t="n"/>
      <c r="E28" s="42" t="n"/>
      <c r="F28" s="42" t="n"/>
      <c r="G28" s="42" t="n"/>
      <c r="H28" s="42" t="n"/>
      <c r="I28" s="42" t="n"/>
      <c r="J28" s="43" t="n"/>
      <c r="K28" s="54" t="n"/>
      <c r="L28" s="54" t="n"/>
      <c r="M28" s="54" t="n"/>
      <c r="N28" s="54" t="n"/>
      <c r="O28" s="54" t="n"/>
      <c r="P28" s="54" t="n"/>
      <c r="Q28" s="54" t="n"/>
    </row>
    <row r="29">
      <c r="A29" s="41" t="n"/>
      <c r="B29" s="42" t="n"/>
      <c r="C29" s="42" t="n"/>
      <c r="D29" s="42" t="n"/>
      <c r="E29" s="42" t="n"/>
      <c r="F29" s="42" t="n"/>
      <c r="G29" s="42" t="n"/>
      <c r="H29" s="42" t="n"/>
      <c r="I29" s="42" t="n"/>
      <c r="J29" s="43" t="n"/>
      <c r="K29" s="54" t="n"/>
      <c r="L29" s="54" t="n"/>
      <c r="M29" s="54" t="n"/>
      <c r="N29" s="54" t="n"/>
      <c r="O29" s="54" t="n"/>
      <c r="P29" s="54" t="n"/>
      <c r="Q29" s="54" t="n"/>
    </row>
    <row r="30">
      <c r="A30" s="41" t="n"/>
      <c r="B30" s="42" t="n"/>
      <c r="C30" s="42" t="n"/>
      <c r="D30" s="42" t="n"/>
      <c r="E30" s="42" t="n"/>
      <c r="F30" s="42" t="n"/>
      <c r="G30" s="42" t="n"/>
      <c r="H30" s="42" t="n"/>
      <c r="I30" s="42" t="n"/>
      <c r="J30" s="43" t="n"/>
      <c r="K30" s="54" t="n"/>
      <c r="L30" s="54" t="n"/>
      <c r="M30" s="54" t="n"/>
      <c r="N30" s="54" t="n"/>
      <c r="O30" s="54" t="n"/>
      <c r="P30" s="54" t="n"/>
      <c r="Q30" s="54" t="n"/>
    </row>
    <row r="31">
      <c r="A31" s="41" t="n"/>
      <c r="B31" s="42" t="n"/>
      <c r="C31" s="42" t="n"/>
      <c r="D31" s="42" t="n"/>
      <c r="E31" s="42" t="n"/>
      <c r="F31" s="42" t="n"/>
      <c r="G31" s="42" t="n"/>
      <c r="H31" s="42" t="n"/>
      <c r="I31" s="42" t="n"/>
      <c r="J31" s="43" t="n"/>
      <c r="K31" s="54" t="n"/>
      <c r="L31" s="54" t="n"/>
      <c r="M31" s="54" t="n"/>
      <c r="N31" s="54" t="n"/>
      <c r="O31" s="54" t="n"/>
      <c r="P31" s="54" t="n"/>
      <c r="Q31" s="54" t="n"/>
    </row>
    <row r="32">
      <c r="A32" s="41" t="n"/>
      <c r="B32" s="42" t="n"/>
      <c r="C32" s="42" t="n"/>
      <c r="D32" s="42" t="n"/>
      <c r="E32" s="42" t="n"/>
      <c r="F32" s="42" t="n"/>
      <c r="G32" s="42" t="n"/>
      <c r="H32" s="42" t="n"/>
      <c r="I32" s="42" t="n"/>
      <c r="J32" s="43" t="n"/>
      <c r="K32" s="54" t="n"/>
      <c r="L32" s="54" t="n"/>
      <c r="M32" s="54" t="n"/>
      <c r="N32" s="54" t="n"/>
      <c r="O32" s="54" t="n"/>
      <c r="P32" s="54" t="n"/>
      <c r="Q32" s="54" t="n"/>
    </row>
    <row r="33">
      <c r="A33" s="41" t="n"/>
      <c r="B33" s="42" t="n"/>
      <c r="C33" s="42" t="n"/>
      <c r="D33" s="42" t="n"/>
      <c r="E33" s="42" t="n"/>
      <c r="F33" s="42" t="n"/>
      <c r="G33" s="42" t="n"/>
      <c r="H33" s="42" t="n"/>
      <c r="I33" s="42" t="n"/>
      <c r="J33" s="43" t="n"/>
      <c r="K33" s="54" t="n"/>
      <c r="L33" s="54" t="n"/>
      <c r="M33" s="54" t="n"/>
      <c r="N33" s="54" t="n"/>
      <c r="O33" s="54" t="n"/>
      <c r="P33" s="54" t="n"/>
      <c r="Q33" s="54" t="n"/>
    </row>
    <row r="34">
      <c r="A34" s="41" t="n"/>
      <c r="B34" s="42" t="n"/>
      <c r="C34" s="42" t="n"/>
      <c r="D34" s="42" t="n"/>
      <c r="E34" s="42" t="n"/>
      <c r="F34" s="42" t="n"/>
      <c r="G34" s="42" t="n"/>
      <c r="H34" s="42" t="n"/>
      <c r="I34" s="42" t="n"/>
      <c r="J34" s="43" t="n"/>
      <c r="K34" s="54" t="n"/>
      <c r="L34" s="54" t="n"/>
      <c r="M34" s="54" t="n"/>
      <c r="N34" s="54" t="n"/>
      <c r="O34" s="54" t="n"/>
      <c r="P34" s="54" t="n"/>
      <c r="Q34" s="54" t="n"/>
    </row>
    <row r="35">
      <c r="A35" s="41" t="n"/>
      <c r="B35" s="42" t="n"/>
      <c r="C35" s="42" t="n"/>
      <c r="D35" s="42" t="n"/>
      <c r="E35" s="42" t="n"/>
      <c r="F35" s="42" t="n"/>
      <c r="G35" s="42" t="n"/>
      <c r="H35" s="42" t="n"/>
      <c r="I35" s="42" t="n"/>
      <c r="J35" s="43" t="n"/>
      <c r="K35" s="54" t="n"/>
      <c r="L35" s="54" t="n"/>
      <c r="M35" s="54" t="n"/>
      <c r="N35" s="54" t="n"/>
      <c r="O35" s="54" t="n"/>
      <c r="P35" s="54" t="n"/>
      <c r="Q35" s="54" t="n"/>
    </row>
    <row r="36">
      <c r="A36" s="41" t="n"/>
      <c r="B36" s="42" t="n"/>
      <c r="C36" s="42" t="n"/>
      <c r="D36" s="42" t="n"/>
      <c r="E36" s="42" t="n"/>
      <c r="F36" s="42" t="n"/>
      <c r="G36" s="42" t="n"/>
      <c r="H36" s="42" t="n"/>
      <c r="I36" s="42" t="n"/>
      <c r="J36" s="43" t="n"/>
      <c r="K36" s="54" t="n"/>
      <c r="L36" s="54" t="n"/>
      <c r="M36" s="54" t="n"/>
      <c r="N36" s="54" t="n"/>
      <c r="O36" s="54" t="n"/>
      <c r="P36" s="54" t="n"/>
      <c r="Q36" s="54" t="n"/>
    </row>
    <row r="37">
      <c r="A37" s="41" t="n"/>
      <c r="B37" s="42" t="n"/>
      <c r="C37" s="42" t="n"/>
      <c r="D37" s="42" t="n"/>
      <c r="E37" s="42" t="n"/>
      <c r="F37" s="42" t="n"/>
      <c r="G37" s="42" t="n"/>
      <c r="H37" s="42" t="n"/>
      <c r="I37" s="42" t="n"/>
      <c r="J37" s="43" t="n"/>
      <c r="K37" s="54" t="n"/>
      <c r="L37" s="54" t="n"/>
      <c r="M37" s="54" t="n"/>
      <c r="N37" s="54" t="n"/>
      <c r="O37" s="54" t="n"/>
      <c r="P37" s="54" t="n"/>
      <c r="Q37" s="54" t="n"/>
    </row>
    <row r="38">
      <c r="A38" s="41" t="n"/>
      <c r="B38" s="42" t="n"/>
      <c r="C38" s="42" t="n"/>
      <c r="D38" s="42" t="n"/>
      <c r="E38" s="42" t="n"/>
      <c r="F38" s="42" t="n"/>
      <c r="G38" s="42" t="n"/>
      <c r="H38" s="42" t="n"/>
      <c r="I38" s="42" t="n"/>
      <c r="J38" s="43" t="n"/>
      <c r="K38" s="54" t="n"/>
      <c r="L38" s="54" t="n"/>
      <c r="M38" s="54" t="n"/>
      <c r="N38" s="54" t="n"/>
      <c r="O38" s="54" t="n"/>
      <c r="P38" s="54" t="n"/>
      <c r="Q38" s="54" t="n"/>
    </row>
    <row r="39">
      <c r="A39" s="41" t="n"/>
      <c r="B39" s="42" t="n"/>
      <c r="C39" s="42" t="n"/>
      <c r="D39" s="42" t="n"/>
      <c r="E39" s="42" t="n"/>
      <c r="F39" s="42" t="n"/>
      <c r="G39" s="42" t="n"/>
      <c r="H39" s="42" t="n"/>
      <c r="I39" s="42" t="n"/>
      <c r="J39" s="43" t="n"/>
      <c r="K39" s="54" t="n"/>
      <c r="L39" s="54" t="n"/>
      <c r="M39" s="54" t="n"/>
      <c r="N39" s="54" t="n"/>
      <c r="O39" s="54" t="n"/>
      <c r="P39" s="54" t="n"/>
      <c r="Q39" s="54" t="n"/>
    </row>
    <row r="40">
      <c r="A40" s="41" t="n"/>
      <c r="B40" s="42" t="n"/>
      <c r="C40" s="42" t="n"/>
      <c r="D40" s="42" t="n"/>
      <c r="E40" s="42" t="n"/>
      <c r="F40" s="42" t="n"/>
      <c r="G40" s="42" t="n"/>
      <c r="H40" s="42" t="n"/>
      <c r="I40" s="42" t="n"/>
      <c r="J40" s="43" t="n"/>
      <c r="K40" s="54" t="n"/>
      <c r="L40" s="54" t="n"/>
      <c r="M40" s="54" t="n"/>
      <c r="N40" s="54" t="n"/>
      <c r="O40" s="54" t="n"/>
      <c r="P40" s="54" t="n"/>
      <c r="Q40" s="54" t="n"/>
    </row>
    <row r="41">
      <c r="A41" s="41" t="n"/>
      <c r="B41" s="42" t="n"/>
      <c r="C41" s="42" t="n"/>
      <c r="D41" s="42" t="n"/>
      <c r="E41" s="42" t="n"/>
      <c r="F41" s="42" t="n"/>
      <c r="G41" s="42" t="n"/>
      <c r="H41" s="42" t="n"/>
      <c r="I41" s="42" t="n"/>
      <c r="J41" s="43" t="n"/>
      <c r="K41" s="54" t="n"/>
      <c r="L41" s="54" t="n"/>
      <c r="M41" s="54" t="n"/>
      <c r="N41" s="54" t="n"/>
      <c r="O41" s="54" t="n"/>
      <c r="P41" s="54" t="n"/>
      <c r="Q41" s="54" t="n"/>
    </row>
    <row r="42">
      <c r="A42" s="41" t="n"/>
      <c r="B42" s="42" t="n"/>
      <c r="C42" s="42" t="n"/>
      <c r="D42" s="42" t="n"/>
      <c r="E42" s="42" t="n"/>
      <c r="F42" s="42" t="n"/>
      <c r="G42" s="42" t="n"/>
      <c r="H42" s="42" t="n"/>
      <c r="I42" s="42" t="n"/>
      <c r="J42" s="43" t="n"/>
      <c r="K42" s="54" t="n"/>
      <c r="L42" s="54" t="n"/>
      <c r="M42" s="54" t="n"/>
      <c r="N42" s="54" t="n"/>
      <c r="O42" s="54" t="n"/>
      <c r="P42" s="54" t="n"/>
      <c r="Q42" s="54" t="n"/>
    </row>
    <row r="43">
      <c r="A43" s="41" t="n"/>
      <c r="B43" s="42" t="n"/>
      <c r="C43" s="42" t="n"/>
      <c r="D43" s="42" t="n"/>
      <c r="E43" s="42" t="n"/>
      <c r="F43" s="42" t="n"/>
      <c r="G43" s="42" t="n"/>
      <c r="H43" s="42" t="n"/>
      <c r="I43" s="42" t="n"/>
      <c r="J43" s="43" t="n"/>
      <c r="K43" s="54" t="n"/>
      <c r="L43" s="54" t="n"/>
      <c r="M43" s="54" t="n"/>
      <c r="N43" s="54" t="n"/>
      <c r="O43" s="54" t="n"/>
      <c r="P43" s="54" t="n"/>
      <c r="Q43" s="54" t="n"/>
    </row>
    <row r="44">
      <c r="A44" s="41" t="n"/>
      <c r="B44" s="42" t="n"/>
      <c r="C44" s="42" t="n"/>
      <c r="D44" s="42" t="n"/>
      <c r="E44" s="42" t="n"/>
      <c r="F44" s="42" t="n"/>
      <c r="G44" s="42" t="n"/>
      <c r="H44" s="42" t="n"/>
      <c r="I44" s="42" t="n"/>
      <c r="J44" s="43" t="n"/>
      <c r="K44" s="54" t="n"/>
      <c r="L44" s="54" t="n"/>
      <c r="M44" s="54" t="n"/>
      <c r="N44" s="54" t="n"/>
      <c r="O44" s="54" t="n"/>
      <c r="P44" s="54" t="n"/>
      <c r="Q44" s="54" t="n"/>
    </row>
    <row r="45">
      <c r="A45" s="41" t="n"/>
      <c r="B45" s="42" t="n"/>
      <c r="C45" s="42" t="n"/>
      <c r="D45" s="42" t="n"/>
      <c r="E45" s="42" t="n"/>
      <c r="F45" s="42" t="n"/>
      <c r="G45" s="42" t="n"/>
      <c r="H45" s="42" t="n"/>
      <c r="I45" s="42" t="n"/>
      <c r="J45" s="43" t="n"/>
      <c r="K45" s="54" t="n"/>
      <c r="L45" s="54" t="n"/>
      <c r="M45" s="54" t="n"/>
      <c r="N45" s="54" t="n"/>
      <c r="O45" s="54" t="n"/>
      <c r="P45" s="54" t="n"/>
      <c r="Q45" s="54" t="n"/>
    </row>
    <row r="46">
      <c r="A46" s="41" t="n"/>
      <c r="B46" s="42" t="n"/>
      <c r="C46" s="42" t="n"/>
      <c r="D46" s="42" t="n"/>
      <c r="E46" s="42" t="n"/>
      <c r="F46" s="42" t="n"/>
      <c r="G46" s="42" t="n"/>
      <c r="H46" s="42" t="n"/>
      <c r="I46" s="42" t="n"/>
      <c r="J46" s="43" t="n"/>
      <c r="K46" s="54" t="n"/>
      <c r="L46" s="54" t="n"/>
      <c r="M46" s="54" t="n"/>
      <c r="N46" s="54" t="n"/>
      <c r="O46" s="54" t="n"/>
      <c r="P46" s="54" t="n"/>
      <c r="Q46" s="54" t="n"/>
    </row>
    <row r="47">
      <c r="A47" s="41" t="n"/>
      <c r="B47" s="42" t="n"/>
      <c r="C47" s="42" t="n"/>
      <c r="D47" s="42" t="n"/>
      <c r="E47" s="42" t="n"/>
      <c r="F47" s="42" t="n"/>
      <c r="G47" s="42" t="n"/>
      <c r="H47" s="42" t="n"/>
      <c r="I47" s="42" t="n"/>
      <c r="J47" s="43" t="n"/>
      <c r="K47" s="54" t="n"/>
      <c r="L47" s="54" t="n"/>
      <c r="M47" s="54" t="n"/>
      <c r="N47" s="54" t="n"/>
      <c r="O47" s="54" t="n"/>
      <c r="P47" s="54" t="n"/>
      <c r="Q47" s="54" t="n"/>
    </row>
    <row r="48">
      <c r="A48" s="41" t="n"/>
      <c r="B48" s="42" t="n"/>
      <c r="C48" s="42" t="n"/>
      <c r="D48" s="42" t="n"/>
      <c r="E48" s="42" t="n"/>
      <c r="F48" s="42" t="n"/>
      <c r="G48" s="42" t="n"/>
      <c r="H48" s="42" t="n"/>
      <c r="I48" s="42" t="n"/>
      <c r="J48" s="43" t="n"/>
      <c r="K48" s="54" t="n"/>
      <c r="L48" s="54" t="n"/>
      <c r="M48" s="54" t="n"/>
      <c r="N48" s="54" t="n"/>
      <c r="O48" s="54" t="n"/>
      <c r="P48" s="54" t="n"/>
      <c r="Q48" s="54" t="n"/>
    </row>
    <row r="49">
      <c r="A49" s="41" t="n"/>
      <c r="B49" s="42" t="n"/>
      <c r="C49" s="42" t="n"/>
      <c r="D49" s="42" t="n"/>
      <c r="E49" s="42" t="n"/>
      <c r="F49" s="42" t="n"/>
      <c r="G49" s="42" t="n"/>
      <c r="H49" s="42" t="n"/>
      <c r="I49" s="42" t="n"/>
      <c r="J49" s="43" t="n"/>
      <c r="K49" s="54" t="n"/>
      <c r="L49" s="54" t="n"/>
      <c r="M49" s="54" t="n"/>
      <c r="N49" s="54" t="n"/>
      <c r="O49" s="54" t="n"/>
      <c r="P49" s="54" t="n"/>
      <c r="Q49" s="54" t="n"/>
    </row>
    <row r="50">
      <c r="A50" s="41" t="n"/>
      <c r="B50" s="42" t="n"/>
      <c r="C50" s="42" t="n"/>
      <c r="D50" s="42" t="n"/>
      <c r="E50" s="42" t="n"/>
      <c r="F50" s="42" t="n"/>
      <c r="G50" s="42" t="n"/>
      <c r="H50" s="42" t="n"/>
      <c r="I50" s="42" t="n"/>
      <c r="J50" s="43" t="n"/>
      <c r="K50" s="54" t="n"/>
      <c r="L50" s="54" t="n"/>
      <c r="M50" s="54" t="n"/>
      <c r="N50" s="54" t="n"/>
      <c r="O50" s="54" t="n"/>
      <c r="P50" s="54" t="n"/>
      <c r="Q50" s="54" t="n"/>
    </row>
    <row r="51">
      <c r="A51" s="41" t="n"/>
      <c r="B51" s="42" t="n"/>
      <c r="C51" s="42" t="n"/>
      <c r="D51" s="42" t="n"/>
      <c r="E51" s="42" t="n"/>
      <c r="F51" s="42" t="n"/>
      <c r="G51" s="42" t="n"/>
      <c r="H51" s="42" t="n"/>
      <c r="I51" s="42" t="n"/>
      <c r="J51" s="43" t="n"/>
      <c r="K51" s="54" t="n"/>
      <c r="L51" s="54" t="n"/>
      <c r="M51" s="54" t="n"/>
      <c r="N51" s="54" t="n"/>
      <c r="O51" s="54" t="n"/>
      <c r="P51" s="54" t="n"/>
      <c r="Q51" s="54" t="n"/>
    </row>
    <row r="52">
      <c r="A52" s="41" t="n"/>
      <c r="B52" s="42" t="n"/>
      <c r="C52" s="42" t="n"/>
      <c r="D52" s="42" t="n"/>
      <c r="E52" s="42" t="n"/>
      <c r="F52" s="42" t="n"/>
      <c r="G52" s="42" t="n"/>
      <c r="H52" s="42" t="n"/>
      <c r="I52" s="42" t="n"/>
      <c r="J52" s="43" t="n"/>
      <c r="K52" s="54" t="n"/>
      <c r="L52" s="54" t="n"/>
      <c r="M52" s="54" t="n"/>
      <c r="N52" s="54" t="n"/>
      <c r="O52" s="54" t="n"/>
      <c r="P52" s="54" t="n"/>
      <c r="Q52" s="54" t="n"/>
    </row>
    <row r="53">
      <c r="A53" s="41" t="n"/>
      <c r="B53" s="42" t="n"/>
      <c r="C53" s="42" t="n"/>
      <c r="D53" s="42" t="n"/>
      <c r="E53" s="42" t="n"/>
      <c r="F53" s="42" t="n"/>
      <c r="G53" s="42" t="n"/>
      <c r="H53" s="42" t="n"/>
      <c r="I53" s="42" t="n"/>
      <c r="J53" s="43" t="n"/>
      <c r="K53" s="54" t="n"/>
      <c r="L53" s="54" t="n"/>
      <c r="M53" s="54" t="n"/>
      <c r="N53" s="54" t="n"/>
      <c r="O53" s="54" t="n"/>
      <c r="P53" s="54" t="n"/>
      <c r="Q53" s="54" t="n"/>
    </row>
    <row r="54">
      <c r="A54" s="41" t="n"/>
      <c r="B54" s="42" t="n"/>
      <c r="C54" s="42" t="n"/>
      <c r="D54" s="42" t="n"/>
      <c r="E54" s="42" t="n"/>
      <c r="F54" s="42" t="n"/>
      <c r="G54" s="42" t="n"/>
      <c r="H54" s="42" t="n"/>
      <c r="I54" s="42" t="n"/>
      <c r="J54" s="43" t="n"/>
      <c r="K54" s="54" t="n"/>
      <c r="L54" s="54" t="n"/>
      <c r="M54" s="54" t="n"/>
      <c r="N54" s="54" t="n"/>
      <c r="O54" s="54" t="n"/>
      <c r="P54" s="54" t="n"/>
      <c r="Q54" s="54" t="n"/>
    </row>
    <row r="55">
      <c r="A55" s="41" t="n"/>
      <c r="B55" s="42" t="n"/>
      <c r="C55" s="42" t="n"/>
      <c r="D55" s="42" t="n"/>
      <c r="E55" s="42" t="n"/>
      <c r="F55" s="42" t="n"/>
      <c r="G55" s="42" t="n"/>
      <c r="H55" s="42" t="n"/>
      <c r="I55" s="42" t="n"/>
      <c r="J55" s="43" t="n"/>
      <c r="K55" s="54" t="n"/>
      <c r="L55" s="54" t="n"/>
      <c r="M55" s="54" t="n"/>
      <c r="N55" s="54" t="n"/>
      <c r="O55" s="54" t="n"/>
      <c r="P55" s="54" t="n"/>
      <c r="Q55" s="54" t="n"/>
    </row>
    <row r="56">
      <c r="A56" s="41" t="n"/>
      <c r="B56" s="42" t="n"/>
      <c r="C56" s="42" t="n"/>
      <c r="D56" s="42" t="n"/>
      <c r="E56" s="42" t="n"/>
      <c r="F56" s="42" t="n"/>
      <c r="G56" s="42" t="n"/>
      <c r="H56" s="42" t="n"/>
      <c r="I56" s="42" t="n"/>
      <c r="J56" s="43" t="n"/>
      <c r="K56" s="54" t="n"/>
      <c r="L56" s="54" t="n"/>
      <c r="M56" s="54" t="n"/>
      <c r="N56" s="54" t="n"/>
      <c r="O56" s="54" t="n"/>
      <c r="P56" s="54" t="n"/>
      <c r="Q56" s="54" t="n"/>
    </row>
    <row r="57">
      <c r="A57" s="41" t="n"/>
      <c r="B57" s="42" t="n"/>
      <c r="C57" s="42" t="n"/>
      <c r="D57" s="42" t="n"/>
      <c r="E57" s="42" t="n"/>
      <c r="F57" s="42" t="n"/>
      <c r="G57" s="42" t="n"/>
      <c r="H57" s="42" t="n"/>
      <c r="I57" s="42" t="n"/>
      <c r="J57" s="43" t="n"/>
      <c r="K57" s="54" t="n"/>
      <c r="L57" s="54" t="n"/>
      <c r="M57" s="54" t="n"/>
      <c r="N57" s="54" t="n"/>
      <c r="O57" s="54" t="n"/>
      <c r="P57" s="54" t="n"/>
      <c r="Q57" s="54" t="n"/>
    </row>
    <row r="58">
      <c r="A58" s="41" t="n"/>
      <c r="B58" s="42" t="n"/>
      <c r="C58" s="42" t="n"/>
      <c r="D58" s="42" t="n"/>
      <c r="E58" s="42" t="n"/>
      <c r="F58" s="42" t="n"/>
      <c r="G58" s="42" t="n"/>
      <c r="H58" s="42" t="n"/>
      <c r="I58" s="42" t="n"/>
      <c r="J58" s="43" t="n"/>
      <c r="K58" s="54" t="n"/>
      <c r="L58" s="54" t="n"/>
      <c r="M58" s="54" t="n"/>
      <c r="N58" s="54" t="n"/>
      <c r="O58" s="54" t="n"/>
      <c r="P58" s="54" t="n"/>
      <c r="Q58" s="54" t="n"/>
    </row>
    <row r="59">
      <c r="A59" s="41" t="n"/>
      <c r="B59" s="42" t="n"/>
      <c r="C59" s="42" t="n"/>
      <c r="D59" s="42" t="n"/>
      <c r="E59" s="42" t="n"/>
      <c r="F59" s="42" t="n"/>
      <c r="G59" s="42" t="n"/>
      <c r="H59" s="42" t="n"/>
      <c r="I59" s="42" t="n"/>
      <c r="J59" s="43" t="n"/>
      <c r="K59" s="54" t="n"/>
      <c r="L59" s="54" t="n"/>
      <c r="M59" s="54" t="n"/>
      <c r="N59" s="54" t="n"/>
      <c r="O59" s="54" t="n"/>
      <c r="P59" s="54" t="n"/>
      <c r="Q59" s="54" t="n"/>
    </row>
    <row r="60">
      <c r="A60" s="41" t="n"/>
      <c r="B60" s="42" t="n"/>
      <c r="C60" s="42" t="n"/>
      <c r="D60" s="42" t="n"/>
      <c r="E60" s="42" t="n"/>
      <c r="F60" s="42" t="n"/>
      <c r="G60" s="42" t="n"/>
      <c r="H60" s="42" t="n"/>
      <c r="I60" s="42" t="n"/>
      <c r="J60" s="43" t="n"/>
      <c r="K60" s="54" t="n"/>
      <c r="L60" s="54" t="n"/>
      <c r="M60" s="54" t="n"/>
      <c r="N60" s="54" t="n"/>
      <c r="O60" s="54" t="n"/>
      <c r="P60" s="54" t="n"/>
      <c r="Q60" s="54" t="n"/>
    </row>
    <row r="61">
      <c r="A61" s="41" t="n"/>
      <c r="B61" s="42" t="n"/>
      <c r="C61" s="42" t="n"/>
      <c r="D61" s="42" t="n"/>
      <c r="E61" s="42" t="n"/>
      <c r="F61" s="42" t="n"/>
      <c r="G61" s="42" t="n"/>
      <c r="H61" s="42" t="n"/>
      <c r="I61" s="42" t="n"/>
      <c r="J61" s="43" t="n"/>
      <c r="K61" s="54" t="n"/>
      <c r="L61" s="54" t="n"/>
      <c r="M61" s="54" t="n"/>
      <c r="N61" s="54" t="n"/>
      <c r="O61" s="54" t="n"/>
      <c r="P61" s="54" t="n"/>
      <c r="Q61" s="54" t="n"/>
    </row>
    <row r="62">
      <c r="A62" s="41" t="n"/>
      <c r="B62" s="42" t="n"/>
      <c r="C62" s="42" t="n"/>
      <c r="D62" s="42" t="n"/>
      <c r="E62" s="42" t="n"/>
      <c r="F62" s="42" t="n"/>
      <c r="G62" s="42" t="n"/>
      <c r="H62" s="42" t="n"/>
      <c r="I62" s="42" t="n"/>
      <c r="J62" s="43" t="n"/>
      <c r="K62" s="54" t="n"/>
      <c r="L62" s="54" t="n"/>
      <c r="M62" s="54" t="n"/>
      <c r="N62" s="54" t="n"/>
      <c r="O62" s="54" t="n"/>
      <c r="P62" s="54" t="n"/>
      <c r="Q62" s="54" t="n"/>
    </row>
    <row r="63">
      <c r="A63" s="41" t="n"/>
      <c r="B63" s="42" t="n"/>
      <c r="C63" s="42" t="n"/>
      <c r="D63" s="42" t="n"/>
      <c r="E63" s="42" t="n"/>
      <c r="F63" s="42" t="n"/>
      <c r="G63" s="42" t="n"/>
      <c r="H63" s="42" t="n"/>
      <c r="I63" s="42" t="n"/>
      <c r="J63" s="43" t="n"/>
      <c r="K63" s="54" t="n"/>
      <c r="L63" s="54" t="n"/>
      <c r="M63" s="54" t="n"/>
      <c r="N63" s="54" t="n"/>
      <c r="O63" s="54" t="n"/>
      <c r="P63" s="54" t="n"/>
      <c r="Q63" s="54" t="n"/>
    </row>
    <row r="64">
      <c r="A64" s="41" t="n"/>
      <c r="B64" s="42" t="n"/>
      <c r="C64" s="42" t="n"/>
      <c r="D64" s="42" t="n"/>
      <c r="E64" s="42" t="n"/>
      <c r="F64" s="42" t="n"/>
      <c r="G64" s="42" t="n"/>
      <c r="H64" s="42" t="n"/>
      <c r="I64" s="42" t="n"/>
      <c r="J64" s="43" t="n"/>
      <c r="K64" s="54" t="n"/>
      <c r="L64" s="54" t="n"/>
      <c r="M64" s="54" t="n"/>
      <c r="N64" s="54" t="n"/>
      <c r="O64" s="54" t="n"/>
      <c r="P64" s="54" t="n"/>
      <c r="Q64" s="54" t="n"/>
    </row>
    <row r="65">
      <c r="A65" s="41" t="n"/>
      <c r="B65" s="42" t="n"/>
      <c r="C65" s="42" t="n"/>
      <c r="D65" s="42" t="n"/>
      <c r="E65" s="42" t="n"/>
      <c r="F65" s="42" t="n"/>
      <c r="G65" s="42" t="n"/>
      <c r="H65" s="42" t="n"/>
      <c r="I65" s="42" t="n"/>
      <c r="J65" s="43" t="n"/>
      <c r="K65" s="54" t="n"/>
      <c r="L65" s="54" t="n"/>
      <c r="M65" s="54" t="n"/>
      <c r="N65" s="54" t="n"/>
      <c r="O65" s="54" t="n"/>
      <c r="P65" s="54" t="n"/>
      <c r="Q65" s="54" t="n"/>
    </row>
    <row r="66">
      <c r="A66" s="41" t="n"/>
      <c r="B66" s="42" t="n"/>
      <c r="C66" s="42" t="n"/>
      <c r="D66" s="42" t="n"/>
      <c r="E66" s="42" t="n"/>
      <c r="F66" s="42" t="n"/>
      <c r="G66" s="42" t="n"/>
      <c r="H66" s="42" t="n"/>
      <c r="I66" s="42" t="n"/>
      <c r="J66" s="43" t="n"/>
      <c r="K66" s="54" t="n"/>
      <c r="L66" s="54" t="n"/>
      <c r="M66" s="54" t="n"/>
      <c r="N66" s="54" t="n"/>
      <c r="O66" s="54" t="n"/>
      <c r="P66" s="54" t="n"/>
      <c r="Q66" s="54" t="n"/>
    </row>
    <row r="67">
      <c r="A67" s="41" t="n"/>
      <c r="B67" s="42" t="n"/>
      <c r="C67" s="42" t="n"/>
      <c r="D67" s="42" t="n"/>
      <c r="E67" s="42" t="n"/>
      <c r="F67" s="42" t="n"/>
      <c r="G67" s="42" t="n"/>
      <c r="H67" s="42" t="n"/>
      <c r="I67" s="42" t="n"/>
      <c r="J67" s="43" t="n"/>
      <c r="K67" s="54" t="n"/>
      <c r="L67" s="54" t="n"/>
      <c r="M67" s="54" t="n"/>
      <c r="N67" s="54" t="n"/>
      <c r="O67" s="54" t="n"/>
      <c r="P67" s="54" t="n"/>
      <c r="Q67" s="54" t="n"/>
    </row>
    <row r="68">
      <c r="A68" s="41" t="n"/>
      <c r="B68" s="42" t="n"/>
      <c r="C68" s="42" t="n"/>
      <c r="D68" s="42" t="n"/>
      <c r="E68" s="42" t="n"/>
      <c r="F68" s="42" t="n"/>
      <c r="G68" s="42" t="n"/>
      <c r="H68" s="42" t="n"/>
      <c r="I68" s="42" t="n"/>
      <c r="J68" s="43" t="n"/>
      <c r="K68" s="54" t="n"/>
      <c r="L68" s="54" t="n"/>
      <c r="M68" s="54" t="n"/>
      <c r="N68" s="54" t="n"/>
      <c r="O68" s="54" t="n"/>
      <c r="P68" s="54" t="n"/>
      <c r="Q68" s="54" t="n"/>
    </row>
    <row r="69">
      <c r="A69" s="41" t="n"/>
      <c r="B69" s="42" t="n"/>
      <c r="C69" s="42" t="n"/>
      <c r="D69" s="42" t="n"/>
      <c r="E69" s="42" t="n"/>
      <c r="F69" s="42" t="n"/>
      <c r="G69" s="42" t="n"/>
      <c r="H69" s="42" t="n"/>
      <c r="I69" s="42" t="n"/>
      <c r="J69" s="43" t="n"/>
      <c r="K69" s="54" t="n"/>
      <c r="L69" s="54" t="n"/>
      <c r="M69" s="54" t="n"/>
      <c r="N69" s="54" t="n"/>
      <c r="O69" s="54" t="n"/>
      <c r="P69" s="54" t="n"/>
      <c r="Q69" s="54" t="n"/>
    </row>
    <row r="70">
      <c r="A70" s="41" t="n"/>
      <c r="B70" s="42" t="n"/>
      <c r="C70" s="42" t="n"/>
      <c r="D70" s="42" t="n"/>
      <c r="E70" s="42" t="n"/>
      <c r="F70" s="42" t="n"/>
      <c r="G70" s="42" t="n"/>
      <c r="H70" s="42" t="n"/>
      <c r="I70" s="42" t="n"/>
      <c r="J70" s="43" t="n"/>
      <c r="K70" s="54" t="n"/>
      <c r="L70" s="54" t="n"/>
      <c r="M70" s="54" t="n"/>
      <c r="N70" s="54" t="n"/>
      <c r="O70" s="54" t="n"/>
      <c r="P70" s="54" t="n"/>
      <c r="Q70" s="54" t="n"/>
    </row>
    <row r="71">
      <c r="A71" s="41" t="n"/>
      <c r="B71" s="42" t="n"/>
      <c r="C71" s="42" t="n"/>
      <c r="D71" s="42" t="n"/>
      <c r="E71" s="42" t="n"/>
      <c r="F71" s="42" t="n"/>
      <c r="G71" s="42" t="n"/>
      <c r="H71" s="42" t="n"/>
      <c r="I71" s="42" t="n"/>
      <c r="J71" s="43" t="n"/>
      <c r="K71" s="54" t="n"/>
      <c r="L71" s="54" t="n"/>
      <c r="M71" s="54" t="n"/>
      <c r="N71" s="54" t="n"/>
      <c r="O71" s="54" t="n"/>
      <c r="P71" s="54" t="n"/>
      <c r="Q71" s="54" t="n"/>
    </row>
    <row r="72">
      <c r="A72" s="41" t="n"/>
      <c r="B72" s="42" t="n"/>
      <c r="C72" s="42" t="n"/>
      <c r="D72" s="42" t="n"/>
      <c r="E72" s="42" t="n"/>
      <c r="F72" s="42" t="n"/>
      <c r="G72" s="42" t="n"/>
      <c r="H72" s="42" t="n"/>
      <c r="I72" s="42" t="n"/>
      <c r="J72" s="43" t="n"/>
      <c r="K72" s="54" t="n"/>
      <c r="L72" s="54" t="n"/>
      <c r="M72" s="54" t="n"/>
      <c r="N72" s="54" t="n"/>
      <c r="O72" s="54" t="n"/>
      <c r="P72" s="54" t="n"/>
      <c r="Q72" s="54" t="n"/>
    </row>
    <row r="73">
      <c r="A73" s="41" t="n"/>
      <c r="B73" s="42" t="n"/>
      <c r="C73" s="42" t="n"/>
      <c r="D73" s="42" t="n"/>
      <c r="E73" s="42" t="n"/>
      <c r="F73" s="42" t="n"/>
      <c r="G73" s="42" t="n"/>
      <c r="H73" s="42" t="n"/>
      <c r="I73" s="42" t="n"/>
      <c r="J73" s="43" t="n"/>
      <c r="K73" s="54" t="n"/>
      <c r="L73" s="54" t="n"/>
      <c r="M73" s="54" t="n"/>
      <c r="N73" s="54" t="n"/>
      <c r="O73" s="54" t="n"/>
      <c r="P73" s="54" t="n"/>
      <c r="Q73" s="54" t="n"/>
    </row>
    <row r="74">
      <c r="A74" s="41" t="n"/>
      <c r="B74" s="42" t="n"/>
      <c r="C74" s="42" t="n"/>
      <c r="D74" s="42" t="n"/>
      <c r="E74" s="42" t="n"/>
      <c r="F74" s="42" t="n"/>
      <c r="G74" s="42" t="n"/>
      <c r="H74" s="42" t="n"/>
      <c r="I74" s="42" t="n"/>
      <c r="J74" s="43" t="n"/>
      <c r="K74" s="54" t="n"/>
      <c r="L74" s="54" t="n"/>
      <c r="M74" s="54" t="n"/>
      <c r="N74" s="54" t="n"/>
      <c r="O74" s="54" t="n"/>
      <c r="P74" s="54" t="n"/>
      <c r="Q74" s="54" t="n"/>
    </row>
    <row r="75">
      <c r="A75" s="41" t="n"/>
      <c r="B75" s="42" t="n"/>
      <c r="C75" s="42" t="n"/>
      <c r="D75" s="42" t="n"/>
      <c r="E75" s="42" t="n"/>
      <c r="F75" s="42" t="n"/>
      <c r="G75" s="42" t="n"/>
      <c r="H75" s="42" t="n"/>
      <c r="I75" s="42" t="n"/>
      <c r="J75" s="43" t="n"/>
      <c r="K75" s="54" t="n"/>
      <c r="L75" s="54" t="n"/>
      <c r="M75" s="54" t="n"/>
      <c r="N75" s="54" t="n"/>
      <c r="O75" s="54" t="n"/>
      <c r="P75" s="54" t="n"/>
      <c r="Q75" s="54" t="n"/>
    </row>
    <row r="76">
      <c r="A76" s="41" t="n"/>
      <c r="B76" s="42" t="n"/>
      <c r="C76" s="42" t="n"/>
      <c r="D76" s="42" t="n"/>
      <c r="E76" s="42" t="n"/>
      <c r="F76" s="42" t="n"/>
      <c r="G76" s="42" t="n"/>
      <c r="H76" s="42" t="n"/>
      <c r="I76" s="42" t="n"/>
      <c r="J76" s="43" t="n"/>
      <c r="K76" s="54" t="n"/>
      <c r="L76" s="54" t="n"/>
      <c r="M76" s="54" t="n"/>
      <c r="N76" s="54" t="n"/>
      <c r="O76" s="54" t="n"/>
      <c r="P76" s="54" t="n"/>
      <c r="Q76" s="54" t="n"/>
    </row>
    <row r="77">
      <c r="A77" s="41" t="n"/>
      <c r="B77" s="42" t="n"/>
      <c r="C77" s="42" t="n"/>
      <c r="D77" s="42" t="n"/>
      <c r="E77" s="42" t="n"/>
      <c r="F77" s="42" t="n"/>
      <c r="G77" s="42" t="n"/>
      <c r="H77" s="42" t="n"/>
      <c r="I77" s="42" t="n"/>
      <c r="J77" s="43" t="n"/>
      <c r="K77" s="54" t="n"/>
      <c r="L77" s="54" t="n"/>
      <c r="M77" s="54" t="n"/>
      <c r="N77" s="54" t="n"/>
      <c r="O77" s="54" t="n"/>
      <c r="P77" s="54" t="n"/>
      <c r="Q77" s="54" t="n"/>
    </row>
    <row r="78">
      <c r="A78" s="41" t="n"/>
      <c r="B78" s="42" t="n"/>
      <c r="C78" s="42" t="n"/>
      <c r="D78" s="42" t="n"/>
      <c r="E78" s="42" t="n"/>
      <c r="F78" s="42" t="n"/>
      <c r="G78" s="42" t="n"/>
      <c r="H78" s="42" t="n"/>
      <c r="I78" s="42" t="n"/>
      <c r="J78" s="43" t="n"/>
      <c r="K78" s="54" t="n"/>
      <c r="L78" s="54" t="n"/>
      <c r="M78" s="54" t="n"/>
      <c r="N78" s="54" t="n"/>
      <c r="O78" s="54" t="n"/>
      <c r="P78" s="54" t="n"/>
      <c r="Q78" s="54" t="n"/>
    </row>
    <row r="79">
      <c r="A79" s="41" t="n"/>
      <c r="B79" s="42" t="n"/>
      <c r="C79" s="42" t="n"/>
      <c r="D79" s="42" t="n"/>
      <c r="E79" s="42" t="n"/>
      <c r="F79" s="42" t="n"/>
      <c r="G79" s="42" t="n"/>
      <c r="H79" s="42" t="n"/>
      <c r="I79" s="42" t="n"/>
      <c r="J79" s="43" t="n"/>
      <c r="K79" s="54" t="n"/>
      <c r="L79" s="54" t="n"/>
      <c r="M79" s="54" t="n"/>
      <c r="N79" s="54" t="n"/>
      <c r="O79" s="54" t="n"/>
      <c r="P79" s="54" t="n"/>
      <c r="Q79" s="54" t="n"/>
    </row>
    <row r="80">
      <c r="A80" s="41" t="n"/>
      <c r="B80" s="42" t="n"/>
      <c r="C80" s="42" t="n"/>
      <c r="D80" s="42" t="n"/>
      <c r="E80" s="42" t="n"/>
      <c r="F80" s="42" t="n"/>
      <c r="G80" s="42" t="n"/>
      <c r="H80" s="42" t="n"/>
      <c r="I80" s="42" t="n"/>
      <c r="J80" s="43" t="n"/>
      <c r="K80" s="54" t="n"/>
      <c r="L80" s="54" t="n"/>
      <c r="M80" s="54" t="n"/>
      <c r="N80" s="54" t="n"/>
      <c r="O80" s="54" t="n"/>
      <c r="P80" s="54" t="n"/>
      <c r="Q80" s="54" t="n"/>
    </row>
    <row r="81">
      <c r="A81" s="41" t="n"/>
      <c r="B81" s="42" t="n"/>
      <c r="C81" s="42" t="n"/>
      <c r="D81" s="42" t="n"/>
      <c r="E81" s="42" t="n"/>
      <c r="F81" s="42" t="n"/>
      <c r="G81" s="42" t="n"/>
      <c r="H81" s="42" t="n"/>
      <c r="I81" s="42" t="n"/>
      <c r="J81" s="43" t="n"/>
      <c r="K81" s="54" t="n"/>
      <c r="L81" s="54" t="n"/>
      <c r="M81" s="54" t="n"/>
      <c r="N81" s="54" t="n"/>
      <c r="O81" s="54" t="n"/>
      <c r="P81" s="54" t="n"/>
      <c r="Q81" s="54" t="n"/>
    </row>
    <row r="82">
      <c r="A82" s="41" t="n"/>
      <c r="B82" s="42" t="n"/>
      <c r="C82" s="42" t="n"/>
      <c r="D82" s="42" t="n"/>
      <c r="E82" s="42" t="n"/>
      <c r="F82" s="42" t="n"/>
      <c r="G82" s="42" t="n"/>
      <c r="H82" s="42" t="n"/>
      <c r="I82" s="42" t="n"/>
      <c r="J82" s="43" t="n"/>
      <c r="K82" s="54" t="n"/>
      <c r="L82" s="54" t="n"/>
      <c r="M82" s="54" t="n"/>
      <c r="N82" s="54" t="n"/>
      <c r="O82" s="54" t="n"/>
      <c r="P82" s="54" t="n"/>
      <c r="Q82" s="54" t="n"/>
    </row>
    <row r="83">
      <c r="A83" s="41" t="n"/>
      <c r="B83" s="42" t="n"/>
      <c r="C83" s="42" t="n"/>
      <c r="D83" s="42" t="n"/>
      <c r="E83" s="42" t="n"/>
      <c r="F83" s="42" t="n"/>
      <c r="G83" s="42" t="n"/>
      <c r="H83" s="42" t="n"/>
      <c r="I83" s="42" t="n"/>
      <c r="J83" s="43" t="n"/>
      <c r="K83" s="54" t="n"/>
      <c r="L83" s="54" t="n"/>
      <c r="M83" s="54" t="n"/>
      <c r="N83" s="54" t="n"/>
      <c r="O83" s="54" t="n"/>
      <c r="P83" s="54" t="n"/>
      <c r="Q83" s="54" t="n"/>
    </row>
    <row r="84">
      <c r="A84" s="41" t="n"/>
      <c r="B84" s="42" t="n"/>
      <c r="C84" s="42" t="n"/>
      <c r="D84" s="42" t="n"/>
      <c r="E84" s="42" t="n"/>
      <c r="F84" s="42" t="n"/>
      <c r="G84" s="42" t="n"/>
      <c r="H84" s="42" t="n"/>
      <c r="I84" s="42" t="n"/>
      <c r="J84" s="43" t="n"/>
      <c r="K84" s="54" t="n"/>
      <c r="L84" s="54" t="n"/>
      <c r="M84" s="54" t="n"/>
      <c r="N84" s="54" t="n"/>
      <c r="O84" s="54" t="n"/>
      <c r="P84" s="54" t="n"/>
      <c r="Q84" s="54" t="n"/>
    </row>
    <row r="85">
      <c r="A85" s="41" t="n"/>
      <c r="B85" s="42" t="n"/>
      <c r="C85" s="42" t="n"/>
      <c r="D85" s="42" t="n"/>
      <c r="E85" s="42" t="n"/>
      <c r="F85" s="42" t="n"/>
      <c r="G85" s="42" t="n"/>
      <c r="H85" s="42" t="n"/>
      <c r="I85" s="42" t="n"/>
      <c r="J85" s="43" t="n"/>
      <c r="K85" s="54" t="n"/>
      <c r="L85" s="54" t="n"/>
      <c r="M85" s="54" t="n"/>
      <c r="N85" s="54" t="n"/>
      <c r="O85" s="54" t="n"/>
      <c r="P85" s="54" t="n"/>
      <c r="Q85" s="54" t="n"/>
    </row>
    <row r="86">
      <c r="A86" s="41" t="n"/>
      <c r="B86" s="42" t="n"/>
      <c r="C86" s="42" t="n"/>
      <c r="D86" s="42" t="n"/>
      <c r="E86" s="42" t="n"/>
      <c r="F86" s="42" t="n"/>
      <c r="G86" s="42" t="n"/>
      <c r="H86" s="42" t="n"/>
      <c r="I86" s="42" t="n"/>
      <c r="J86" s="43" t="n"/>
      <c r="K86" s="54" t="n"/>
      <c r="L86" s="54" t="n"/>
      <c r="M86" s="54" t="n"/>
      <c r="N86" s="54" t="n"/>
      <c r="O86" s="54" t="n"/>
      <c r="P86" s="54" t="n"/>
      <c r="Q86" s="54" t="n"/>
    </row>
    <row r="87">
      <c r="A87" s="41" t="n"/>
      <c r="B87" s="42" t="n"/>
      <c r="C87" s="42" t="n"/>
      <c r="D87" s="42" t="n"/>
      <c r="E87" s="42" t="n"/>
      <c r="F87" s="42" t="n"/>
      <c r="G87" s="42" t="n"/>
      <c r="H87" s="42" t="n"/>
      <c r="I87" s="42" t="n"/>
      <c r="J87" s="43" t="n"/>
      <c r="K87" s="54" t="n"/>
      <c r="L87" s="54" t="n"/>
      <c r="M87" s="54" t="n"/>
      <c r="N87" s="54" t="n"/>
      <c r="O87" s="54" t="n"/>
      <c r="P87" s="54" t="n"/>
      <c r="Q87" s="54" t="n"/>
    </row>
    <row r="88">
      <c r="A88" s="41" t="n"/>
      <c r="B88" s="42" t="n"/>
      <c r="C88" s="42" t="n"/>
      <c r="D88" s="42" t="n"/>
      <c r="E88" s="42" t="n"/>
      <c r="F88" s="42" t="n"/>
      <c r="G88" s="42" t="n"/>
      <c r="H88" s="42" t="n"/>
      <c r="I88" s="42" t="n"/>
      <c r="J88" s="43" t="n"/>
      <c r="K88" s="54" t="n"/>
      <c r="L88" s="54" t="n"/>
      <c r="M88" s="54" t="n"/>
      <c r="N88" s="54" t="n"/>
      <c r="O88" s="54" t="n"/>
      <c r="P88" s="54" t="n"/>
      <c r="Q88" s="54" t="n"/>
    </row>
    <row r="89">
      <c r="A89" s="41" t="n"/>
      <c r="B89" s="42" t="n"/>
      <c r="C89" s="42" t="n"/>
      <c r="D89" s="42" t="n"/>
      <c r="E89" s="42" t="n"/>
      <c r="F89" s="42" t="n"/>
      <c r="G89" s="42" t="n"/>
      <c r="H89" s="42" t="n"/>
      <c r="I89" s="42" t="n"/>
      <c r="J89" s="43" t="n"/>
      <c r="K89" s="54" t="n"/>
      <c r="L89" s="54" t="n"/>
      <c r="M89" s="54" t="n"/>
      <c r="N89" s="54" t="n"/>
      <c r="O89" s="54" t="n"/>
      <c r="P89" s="54" t="n"/>
      <c r="Q89" s="54" t="n"/>
    </row>
    <row r="90">
      <c r="A90" s="41" t="n"/>
      <c r="B90" s="42" t="n"/>
      <c r="C90" s="42" t="n"/>
      <c r="D90" s="42" t="n"/>
      <c r="E90" s="42" t="n"/>
      <c r="F90" s="42" t="n"/>
      <c r="G90" s="42" t="n"/>
      <c r="H90" s="42" t="n"/>
      <c r="I90" s="42" t="n"/>
      <c r="J90" s="43" t="n"/>
      <c r="K90" s="54" t="n"/>
      <c r="L90" s="54" t="n"/>
      <c r="M90" s="54" t="n"/>
      <c r="N90" s="54" t="n"/>
      <c r="O90" s="54" t="n"/>
      <c r="P90" s="54" t="n"/>
      <c r="Q90" s="54" t="n"/>
    </row>
    <row r="91">
      <c r="A91" s="41" t="n"/>
      <c r="B91" s="42" t="n"/>
      <c r="C91" s="42" t="n"/>
      <c r="D91" s="42" t="n"/>
      <c r="E91" s="42" t="n"/>
      <c r="F91" s="42" t="n"/>
      <c r="G91" s="42" t="n"/>
      <c r="H91" s="42" t="n"/>
      <c r="I91" s="42" t="n"/>
      <c r="J91" s="43" t="n"/>
      <c r="K91" s="54" t="n"/>
      <c r="L91" s="54" t="n"/>
      <c r="M91" s="54" t="n"/>
      <c r="N91" s="54" t="n"/>
      <c r="O91" s="54" t="n"/>
      <c r="P91" s="54" t="n"/>
      <c r="Q91" s="54" t="n"/>
    </row>
    <row r="92">
      <c r="A92" s="41" t="n"/>
      <c r="B92" s="42" t="n"/>
      <c r="C92" s="42" t="n"/>
      <c r="D92" s="42" t="n"/>
      <c r="E92" s="42" t="n"/>
      <c r="F92" s="42" t="n"/>
      <c r="G92" s="42" t="n"/>
      <c r="H92" s="42" t="n"/>
      <c r="I92" s="42" t="n"/>
      <c r="J92" s="43" t="n"/>
      <c r="K92" s="54" t="n"/>
      <c r="L92" s="54" t="n"/>
      <c r="M92" s="54" t="n"/>
      <c r="N92" s="54" t="n"/>
      <c r="O92" s="54" t="n"/>
      <c r="P92" s="54" t="n"/>
      <c r="Q92" s="54" t="n"/>
    </row>
    <row r="93">
      <c r="A93" s="41" t="n"/>
      <c r="B93" s="42" t="n"/>
      <c r="C93" s="42" t="n"/>
      <c r="D93" s="42" t="n"/>
      <c r="E93" s="42" t="n"/>
      <c r="F93" s="42" t="n"/>
      <c r="G93" s="42" t="n"/>
      <c r="H93" s="42" t="n"/>
      <c r="I93" s="42" t="n"/>
      <c r="J93" s="43" t="n"/>
      <c r="K93" s="54" t="n"/>
      <c r="L93" s="54" t="n"/>
      <c r="M93" s="54" t="n"/>
      <c r="N93" s="54" t="n"/>
      <c r="O93" s="54" t="n"/>
      <c r="P93" s="54" t="n"/>
      <c r="Q93" s="54" t="n"/>
    </row>
    <row r="94">
      <c r="A94" s="41" t="n"/>
      <c r="B94" s="42" t="n"/>
      <c r="C94" s="42" t="n"/>
      <c r="D94" s="42" t="n"/>
      <c r="E94" s="42" t="n"/>
      <c r="F94" s="42" t="n"/>
      <c r="G94" s="42" t="n"/>
      <c r="H94" s="42" t="n"/>
      <c r="I94" s="42" t="n"/>
      <c r="J94" s="43" t="n"/>
      <c r="K94" s="54" t="n"/>
      <c r="L94" s="54" t="n"/>
      <c r="M94" s="54" t="n"/>
      <c r="N94" s="54" t="n"/>
      <c r="O94" s="54" t="n"/>
      <c r="P94" s="54" t="n"/>
      <c r="Q94" s="54" t="n"/>
    </row>
    <row r="95">
      <c r="A95" s="41" t="n"/>
      <c r="B95" s="42" t="n"/>
      <c r="C95" s="42" t="n"/>
      <c r="D95" s="42" t="n"/>
      <c r="E95" s="42" t="n"/>
      <c r="F95" s="42" t="n"/>
      <c r="G95" s="42" t="n"/>
      <c r="H95" s="42" t="n"/>
      <c r="I95" s="42" t="n"/>
      <c r="J95" s="43" t="n"/>
      <c r="K95" s="54" t="n"/>
      <c r="L95" s="54" t="n"/>
      <c r="M95" s="54" t="n"/>
      <c r="N95" s="54" t="n"/>
      <c r="O95" s="54" t="n"/>
      <c r="P95" s="54" t="n"/>
      <c r="Q95" s="54" t="n"/>
    </row>
    <row r="96">
      <c r="A96" s="41" t="n"/>
      <c r="B96" s="42" t="n"/>
      <c r="C96" s="42" t="n"/>
      <c r="D96" s="42" t="n"/>
      <c r="E96" s="42" t="n"/>
      <c r="F96" s="42" t="n"/>
      <c r="G96" s="42" t="n"/>
      <c r="H96" s="42" t="n"/>
      <c r="I96" s="42" t="n"/>
      <c r="J96" s="43" t="n"/>
      <c r="K96" s="54" t="n"/>
      <c r="L96" s="54" t="n"/>
      <c r="M96" s="54" t="n"/>
      <c r="N96" s="54" t="n"/>
      <c r="O96" s="54" t="n"/>
      <c r="P96" s="54" t="n"/>
      <c r="Q96" s="54" t="n"/>
    </row>
    <row r="97">
      <c r="A97" s="41" t="n"/>
      <c r="B97" s="42" t="n"/>
      <c r="C97" s="42" t="n"/>
      <c r="D97" s="42" t="n"/>
      <c r="E97" s="42" t="n"/>
      <c r="F97" s="42" t="n"/>
      <c r="G97" s="42" t="n"/>
      <c r="H97" s="42" t="n"/>
      <c r="I97" s="42" t="n"/>
      <c r="J97" s="43" t="n"/>
      <c r="K97" s="54" t="n"/>
      <c r="L97" s="54" t="n"/>
      <c r="M97" s="54" t="n"/>
      <c r="N97" s="54" t="n"/>
      <c r="O97" s="54" t="n"/>
      <c r="P97" s="54" t="n"/>
      <c r="Q97" s="54" t="n"/>
    </row>
    <row r="98">
      <c r="A98" s="41" t="n"/>
      <c r="B98" s="42" t="n"/>
      <c r="C98" s="42" t="n"/>
      <c r="D98" s="42" t="n"/>
      <c r="E98" s="42" t="n"/>
      <c r="F98" s="42" t="n"/>
      <c r="G98" s="42" t="n"/>
      <c r="H98" s="42" t="n"/>
      <c r="I98" s="42" t="n"/>
      <c r="J98" s="43" t="n"/>
      <c r="K98" s="54" t="n"/>
      <c r="L98" s="54" t="n"/>
      <c r="M98" s="54" t="n"/>
      <c r="N98" s="54" t="n"/>
      <c r="O98" s="54" t="n"/>
      <c r="P98" s="54" t="n"/>
      <c r="Q98" s="54" t="n"/>
    </row>
    <row r="99">
      <c r="A99" s="41" t="n"/>
      <c r="B99" s="42" t="n"/>
      <c r="C99" s="42" t="n"/>
      <c r="D99" s="42" t="n"/>
      <c r="E99" s="42" t="n"/>
      <c r="F99" s="42" t="n"/>
      <c r="G99" s="42" t="n"/>
      <c r="H99" s="42" t="n"/>
      <c r="I99" s="42" t="n"/>
      <c r="J99" s="43" t="n"/>
      <c r="K99" s="54" t="n"/>
      <c r="L99" s="54" t="n"/>
      <c r="M99" s="54" t="n"/>
      <c r="N99" s="54" t="n"/>
      <c r="O99" s="54" t="n"/>
      <c r="P99" s="54" t="n"/>
      <c r="Q99" s="54" t="n"/>
    </row>
    <row r="100">
      <c r="A100" s="41" t="n"/>
      <c r="B100" s="42" t="n"/>
      <c r="C100" s="42" t="n"/>
      <c r="D100" s="42" t="n"/>
      <c r="E100" s="42" t="n"/>
      <c r="F100" s="42" t="n"/>
      <c r="G100" s="42" t="n"/>
      <c r="H100" s="42" t="n"/>
      <c r="I100" s="42" t="n"/>
      <c r="J100" s="43" t="n"/>
      <c r="K100" s="54" t="n"/>
      <c r="L100" s="54" t="n"/>
      <c r="M100" s="54" t="n"/>
      <c r="N100" s="54" t="n"/>
      <c r="O100" s="54" t="n"/>
      <c r="P100" s="54" t="n"/>
      <c r="Q100" s="54" t="n"/>
    </row>
    <row r="101">
      <c r="A101" s="41" t="n"/>
      <c r="B101" s="42" t="n"/>
      <c r="C101" s="42" t="n"/>
      <c r="D101" s="42" t="n"/>
      <c r="E101" s="42" t="n"/>
      <c r="F101" s="42" t="n"/>
      <c r="G101" s="42" t="n"/>
      <c r="H101" s="42" t="n"/>
      <c r="I101" s="42" t="n"/>
      <c r="J101" s="43" t="n"/>
      <c r="K101" s="54" t="n"/>
      <c r="L101" s="54" t="n"/>
      <c r="M101" s="54" t="n"/>
      <c r="N101" s="54" t="n"/>
      <c r="O101" s="54" t="n"/>
      <c r="P101" s="54" t="n"/>
      <c r="Q101" s="54" t="n"/>
    </row>
    <row r="102">
      <c r="A102" s="41" t="n"/>
      <c r="B102" s="42" t="n"/>
      <c r="C102" s="42" t="n"/>
      <c r="D102" s="42" t="n"/>
      <c r="E102" s="42" t="n"/>
      <c r="F102" s="42" t="n"/>
      <c r="G102" s="42" t="n"/>
      <c r="H102" s="42" t="n"/>
      <c r="I102" s="42" t="n"/>
      <c r="J102" s="43" t="n"/>
      <c r="K102" s="54" t="n"/>
      <c r="L102" s="54" t="n"/>
      <c r="M102" s="54" t="n"/>
      <c r="N102" s="54" t="n"/>
      <c r="O102" s="54" t="n"/>
      <c r="P102" s="54" t="n"/>
      <c r="Q102" s="54" t="n"/>
    </row>
    <row r="103">
      <c r="A103" s="41" t="n"/>
      <c r="B103" s="42" t="n"/>
      <c r="C103" s="42" t="n"/>
      <c r="D103" s="42" t="n"/>
      <c r="E103" s="42" t="n"/>
      <c r="F103" s="42" t="n"/>
      <c r="G103" s="42" t="n"/>
      <c r="H103" s="42" t="n"/>
      <c r="I103" s="42" t="n"/>
      <c r="J103" s="43" t="n"/>
      <c r="K103" s="54" t="n"/>
      <c r="L103" s="54" t="n"/>
      <c r="M103" s="54" t="n"/>
      <c r="N103" s="54" t="n"/>
      <c r="O103" s="54" t="n"/>
      <c r="P103" s="54" t="n"/>
      <c r="Q103" s="54" t="n"/>
    </row>
    <row r="104">
      <c r="A104" s="44" t="n"/>
      <c r="B104" s="45" t="n"/>
      <c r="C104" s="45" t="n"/>
      <c r="D104" s="45" t="n"/>
      <c r="E104" s="45" t="n"/>
      <c r="F104" s="45" t="n"/>
      <c r="G104" s="45" t="n"/>
      <c r="H104" s="45" t="n"/>
      <c r="I104" s="45" t="n"/>
      <c r="J104" s="46" t="n"/>
      <c r="K104" s="54" t="n"/>
      <c r="L104" s="54" t="n"/>
      <c r="M104" s="54" t="n"/>
      <c r="N104" s="54" t="n"/>
      <c r="O104" s="54" t="n"/>
      <c r="P104" s="54" t="n"/>
      <c r="Q104" s="54" t="n"/>
    </row>
    <row r="105">
      <c r="A105" s="54" t="n"/>
      <c r="B105" s="54" t="n"/>
      <c r="C105" s="54" t="n"/>
      <c r="D105" s="54" t="n"/>
      <c r="E105" s="54" t="n"/>
      <c r="F105" s="54" t="n"/>
      <c r="G105" s="54" t="n"/>
      <c r="H105" s="54" t="n"/>
      <c r="I105" s="54" t="n"/>
      <c r="J105" s="54" t="n"/>
      <c r="K105" s="54" t="n"/>
      <c r="L105" s="54" t="n"/>
      <c r="M105" s="54" t="n"/>
      <c r="N105" s="54" t="n"/>
      <c r="O105" s="54" t="n"/>
      <c r="P105" s="54" t="n"/>
      <c r="Q105" s="54" t="n"/>
    </row>
    <row r="106">
      <c r="A106" s="54" t="n"/>
      <c r="B106" s="54" t="n"/>
      <c r="C106" s="54" t="n"/>
      <c r="D106" s="54" t="n"/>
      <c r="E106" s="54" t="n"/>
      <c r="F106" s="54" t="n"/>
      <c r="G106" s="54" t="n"/>
      <c r="H106" s="54" t="n"/>
      <c r="I106" s="54" t="n"/>
      <c r="J106" s="54" t="n"/>
      <c r="K106" s="54" t="n"/>
      <c r="L106" s="54" t="n"/>
      <c r="M106" s="54" t="n"/>
      <c r="N106" s="54" t="n"/>
      <c r="O106" s="54" t="n"/>
      <c r="P106" s="54" t="n"/>
      <c r="Q106" s="54" t="n"/>
    </row>
    <row r="107">
      <c r="A107" s="54" t="n"/>
      <c r="B107" s="54" t="n"/>
      <c r="C107" s="54" t="n"/>
      <c r="D107" s="54" t="n"/>
      <c r="E107" s="54" t="n"/>
      <c r="F107" s="54" t="n"/>
      <c r="G107" s="54" t="n"/>
      <c r="H107" s="54" t="n"/>
      <c r="I107" s="54" t="n"/>
      <c r="J107" s="54" t="n"/>
      <c r="K107" s="54" t="n"/>
      <c r="L107" s="54" t="n"/>
      <c r="M107" s="54" t="n"/>
      <c r="N107" s="54" t="n"/>
      <c r="O107" s="54" t="n"/>
      <c r="P107" s="54" t="n"/>
      <c r="Q107" s="54" t="n"/>
    </row>
    <row r="108">
      <c r="A108" s="54" t="n"/>
      <c r="B108" s="54" t="n"/>
      <c r="C108" s="54" t="n"/>
      <c r="D108" s="54" t="n"/>
      <c r="E108" s="54" t="n"/>
      <c r="F108" s="54" t="n"/>
      <c r="G108" s="54" t="n"/>
      <c r="H108" s="54" t="n"/>
      <c r="I108" s="54" t="n"/>
      <c r="J108" s="54" t="n"/>
      <c r="K108" s="54" t="n"/>
      <c r="L108" s="54" t="n"/>
      <c r="M108" s="54" t="n"/>
      <c r="N108" s="54" t="n"/>
      <c r="O108" s="54" t="n"/>
      <c r="P108" s="54" t="n"/>
      <c r="Q108" s="54" t="n"/>
    </row>
    <row r="109">
      <c r="A109" s="54" t="n"/>
      <c r="B109" s="54" t="n"/>
      <c r="C109" s="54" t="n"/>
      <c r="D109" s="54" t="n"/>
      <c r="E109" s="54" t="n"/>
      <c r="F109" s="54" t="n"/>
      <c r="G109" s="54" t="n"/>
      <c r="H109" s="54" t="n"/>
      <c r="I109" s="54" t="n"/>
      <c r="J109" s="54" t="n"/>
      <c r="K109" s="54" t="n"/>
      <c r="L109" s="54" t="n"/>
      <c r="M109" s="54" t="n"/>
      <c r="N109" s="54" t="n"/>
      <c r="O109" s="54" t="n"/>
      <c r="P109" s="54" t="n"/>
      <c r="Q109" s="54" t="n"/>
    </row>
    <row r="110">
      <c r="A110" s="54" t="n"/>
      <c r="B110" s="54" t="n"/>
      <c r="C110" s="54" t="n"/>
      <c r="D110" s="54" t="n"/>
      <c r="E110" s="54" t="n"/>
      <c r="F110" s="54" t="n"/>
      <c r="G110" s="54" t="n"/>
      <c r="H110" s="54" t="n"/>
      <c r="I110" s="54" t="n"/>
      <c r="J110" s="54" t="n"/>
      <c r="K110" s="54" t="n"/>
      <c r="L110" s="54" t="n"/>
      <c r="M110" s="54" t="n"/>
      <c r="N110" s="54" t="n"/>
      <c r="O110" s="54" t="n"/>
      <c r="P110" s="54" t="n"/>
      <c r="Q110" s="54" t="n"/>
    </row>
    <row r="111">
      <c r="A111" s="54" t="n"/>
      <c r="B111" s="54" t="n"/>
      <c r="C111" s="54" t="n"/>
      <c r="D111" s="54" t="n"/>
      <c r="E111" s="54" t="n"/>
      <c r="F111" s="54" t="n"/>
      <c r="G111" s="54" t="n"/>
      <c r="H111" s="54" t="n"/>
      <c r="I111" s="54" t="n"/>
      <c r="J111" s="54" t="n"/>
      <c r="K111" s="54" t="n"/>
      <c r="L111" s="54" t="n"/>
      <c r="M111" s="54" t="n"/>
      <c r="N111" s="54" t="n"/>
      <c r="O111" s="54" t="n"/>
      <c r="P111" s="54" t="n"/>
      <c r="Q111" s="54" t="n"/>
    </row>
    <row r="112">
      <c r="A112" s="54" t="n"/>
      <c r="B112" s="54" t="n"/>
      <c r="C112" s="54" t="n"/>
      <c r="D112" s="54" t="n"/>
      <c r="E112" s="54" t="n"/>
      <c r="F112" s="54" t="n"/>
      <c r="G112" s="54" t="n"/>
      <c r="H112" s="54" t="n"/>
      <c r="I112" s="54" t="n"/>
      <c r="J112" s="54" t="n"/>
      <c r="K112" s="54" t="n"/>
      <c r="L112" s="54" t="n"/>
      <c r="M112" s="54" t="n"/>
      <c r="N112" s="54" t="n"/>
      <c r="O112" s="54" t="n"/>
      <c r="P112" s="54" t="n"/>
      <c r="Q112" s="54" t="n"/>
    </row>
    <row r="113">
      <c r="A113" s="54" t="n"/>
      <c r="B113" s="54" t="n"/>
      <c r="C113" s="54" t="n"/>
      <c r="D113" s="54" t="n"/>
      <c r="E113" s="54" t="n"/>
      <c r="F113" s="54" t="n"/>
      <c r="G113" s="54" t="n"/>
      <c r="H113" s="54" t="n"/>
      <c r="I113" s="54" t="n"/>
      <c r="J113" s="54" t="n"/>
      <c r="K113" s="54" t="n"/>
      <c r="L113" s="54" t="n"/>
      <c r="M113" s="54" t="n"/>
      <c r="N113" s="54" t="n"/>
      <c r="O113" s="54" t="n"/>
      <c r="P113" s="54" t="n"/>
      <c r="Q113" s="54" t="n"/>
    </row>
    <row r="114">
      <c r="A114" s="54" t="n"/>
      <c r="B114" s="54" t="n"/>
      <c r="C114" s="54" t="n"/>
      <c r="D114" s="54" t="n"/>
      <c r="E114" s="54" t="n"/>
      <c r="F114" s="54" t="n"/>
      <c r="G114" s="54" t="n"/>
      <c r="H114" s="54" t="n"/>
      <c r="I114" s="54" t="n"/>
      <c r="J114" s="54" t="n"/>
      <c r="K114" s="54" t="n"/>
      <c r="L114" s="54" t="n"/>
      <c r="M114" s="54" t="n"/>
      <c r="N114" s="54" t="n"/>
      <c r="O114" s="54" t="n"/>
      <c r="P114" s="54" t="n"/>
      <c r="Q114" s="54" t="n"/>
    </row>
    <row r="115">
      <c r="A115" s="54" t="n"/>
      <c r="B115" s="54" t="n"/>
      <c r="C115" s="54" t="n"/>
      <c r="D115" s="54" t="n"/>
      <c r="E115" s="54" t="n"/>
      <c r="F115" s="54" t="n"/>
      <c r="G115" s="54" t="n"/>
      <c r="H115" s="54" t="n"/>
      <c r="I115" s="54" t="n"/>
      <c r="J115" s="54" t="n"/>
      <c r="K115" s="54" t="n"/>
      <c r="L115" s="54" t="n"/>
      <c r="M115" s="54" t="n"/>
      <c r="N115" s="54" t="n"/>
      <c r="O115" s="54" t="n"/>
      <c r="P115" s="54" t="n"/>
      <c r="Q115" s="54" t="n"/>
    </row>
    <row r="116">
      <c r="A116" s="54" t="n"/>
      <c r="B116" s="54" t="n"/>
      <c r="C116" s="54" t="n"/>
      <c r="D116" s="54" t="n"/>
      <c r="E116" s="54" t="n"/>
      <c r="F116" s="54" t="n"/>
      <c r="G116" s="54" t="n"/>
      <c r="H116" s="54" t="n"/>
      <c r="I116" s="54" t="n"/>
      <c r="J116" s="54" t="n"/>
      <c r="K116" s="54" t="n"/>
      <c r="L116" s="54" t="n"/>
      <c r="M116" s="54" t="n"/>
      <c r="N116" s="54" t="n"/>
      <c r="O116" s="54" t="n"/>
      <c r="P116" s="54" t="n"/>
      <c r="Q116" s="54" t="n"/>
    </row>
    <row r="117">
      <c r="A117" s="54" t="n"/>
      <c r="B117" s="54" t="n"/>
      <c r="C117" s="54" t="n"/>
      <c r="D117" s="54" t="n"/>
      <c r="E117" s="54" t="n"/>
      <c r="F117" s="54" t="n"/>
      <c r="G117" s="54" t="n"/>
      <c r="H117" s="54" t="n"/>
      <c r="I117" s="54" t="n"/>
      <c r="J117" s="54" t="n"/>
      <c r="K117" s="54" t="n"/>
      <c r="L117" s="54" t="n"/>
      <c r="M117" s="54" t="n"/>
      <c r="N117" s="54" t="n"/>
      <c r="O117" s="54" t="n"/>
      <c r="P117" s="54" t="n"/>
      <c r="Q117" s="54" t="n"/>
    </row>
    <row r="118">
      <c r="A118" s="54" t="n"/>
      <c r="B118" s="54" t="n"/>
      <c r="C118" s="54" t="n"/>
      <c r="D118" s="54" t="n"/>
      <c r="E118" s="54" t="n"/>
      <c r="F118" s="54" t="n"/>
      <c r="G118" s="54" t="n"/>
      <c r="H118" s="54" t="n"/>
      <c r="I118" s="54" t="n"/>
      <c r="J118" s="54" t="n"/>
      <c r="K118" s="54" t="n"/>
      <c r="L118" s="54" t="n"/>
      <c r="M118" s="54" t="n"/>
      <c r="N118" s="54" t="n"/>
      <c r="O118" s="54" t="n"/>
      <c r="P118" s="54" t="n"/>
      <c r="Q118" s="54" t="n"/>
    </row>
    <row r="119">
      <c r="A119" s="54" t="n"/>
      <c r="B119" s="54" t="n"/>
      <c r="C119" s="54" t="n"/>
      <c r="D119" s="54" t="n"/>
      <c r="E119" s="54" t="n"/>
      <c r="F119" s="54" t="n"/>
      <c r="G119" s="54" t="n"/>
      <c r="H119" s="54" t="n"/>
      <c r="I119" s="54" t="n"/>
      <c r="J119" s="54" t="n"/>
      <c r="K119" s="54" t="n"/>
      <c r="L119" s="54" t="n"/>
      <c r="M119" s="54" t="n"/>
      <c r="N119" s="54" t="n"/>
      <c r="O119" s="54" t="n"/>
      <c r="P119" s="54" t="n"/>
      <c r="Q119" s="54" t="n"/>
    </row>
    <row r="120">
      <c r="A120" s="54" t="n"/>
      <c r="B120" s="54" t="n"/>
      <c r="C120" s="54" t="n"/>
      <c r="D120" s="54" t="n"/>
      <c r="E120" s="54" t="n"/>
      <c r="F120" s="54" t="n"/>
      <c r="G120" s="54" t="n"/>
      <c r="H120" s="54" t="n"/>
      <c r="I120" s="54" t="n"/>
      <c r="J120" s="54" t="n"/>
      <c r="K120" s="54" t="n"/>
      <c r="L120" s="54" t="n"/>
      <c r="M120" s="54" t="n"/>
      <c r="N120" s="54" t="n"/>
      <c r="O120" s="54" t="n"/>
      <c r="P120" s="54" t="n"/>
      <c r="Q120" s="54" t="n"/>
    </row>
  </sheetData>
  <conditionalFormatting sqref="G5:J104">
    <cfRule type="colorScale" priority="1">
      <colorScale>
        <cfvo type="min"/>
        <cfvo type="percentile" val="50"/>
        <cfvo type="max"/>
        <color rgb="FFFCA5A5"/>
        <color rgb="FFFDE68A"/>
        <color rgb="FF86EFAC"/>
      </colorScale>
    </cfRule>
  </conditionalFormatting>
  <dataValidations count="1">
    <dataValidation sqref="G5:J104" showDropDown="0" showInputMessage="0" showErrorMessage="1" allowBlank="0" errorTitle="Invalid score" error="Enter a whole number from 0 to 100." type="whole" errorStyle="stop" operator="between">
      <formula1>0</formula1>
      <formula2>100</formula2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120"/>
  <sheetViews>
    <sheetView workbookViewId="0">
      <selection activeCell="A1" sqref="A1"/>
    </sheetView>
  </sheetViews>
  <sheetFormatPr baseColWidth="8" defaultRowHeight="15"/>
  <cols>
    <col width="21.11000061035156" customWidth="1" min="1" max="1"/>
    <col width="20" customWidth="1" min="2" max="2"/>
    <col width="40" customWidth="1" min="3" max="3"/>
    <col width="25.55999946594238" customWidth="1" min="4" max="4"/>
    <col width="26.67000007629395" customWidth="1" min="5" max="5"/>
    <col width="27.78000068664551" customWidth="1" min="6" max="6"/>
    <col width="26.67000007629395" customWidth="1" min="7" max="7"/>
    <col width="12.22000026702881" customWidth="1" min="8" max="8"/>
  </cols>
  <sheetData>
    <row r="1">
      <c r="A1" s="53" t="inlineStr">
        <is>
          <t>drama_angle_map</t>
        </is>
      </c>
      <c r="B1" s="54" t="n"/>
      <c r="C1" s="54" t="n"/>
      <c r="D1" s="54" t="n"/>
      <c r="E1" s="54" t="n"/>
      <c r="F1" s="54" t="n"/>
      <c r="G1" s="54" t="n"/>
      <c r="H1" s="54" t="n"/>
      <c r="I1" s="54" t="n"/>
      <c r="J1" s="54" t="n"/>
      <c r="K1" s="54" t="n"/>
      <c r="L1" s="54" t="n"/>
      <c r="M1" s="54" t="n"/>
      <c r="N1" s="54" t="n"/>
      <c r="O1" s="54" t="n"/>
      <c r="P1" s="54" t="n"/>
      <c r="Q1" s="54" t="n"/>
    </row>
    <row r="2">
      <c r="A2" s="55" t="inlineStr">
        <is>
          <t>将题材簇翻译成短剧角度，并用公式计算机会分。</t>
        </is>
      </c>
      <c r="B2" s="54" t="n"/>
      <c r="C2" s="54" t="n"/>
      <c r="D2" s="54" t="n"/>
      <c r="E2" s="54" t="n"/>
      <c r="F2" s="54" t="n"/>
      <c r="G2" s="54" t="n"/>
      <c r="H2" s="54" t="n"/>
      <c r="I2" s="54" t="n"/>
      <c r="J2" s="54" t="n"/>
      <c r="K2" s="54" t="n"/>
      <c r="L2" s="54" t="n"/>
      <c r="M2" s="54" t="n"/>
      <c r="N2" s="54" t="n"/>
      <c r="O2" s="54" t="n"/>
      <c r="P2" s="54" t="n"/>
      <c r="Q2" s="54" t="n"/>
    </row>
    <row r="3">
      <c r="A3" s="54" t="n"/>
      <c r="B3" s="54" t="n"/>
      <c r="C3" s="54" t="n"/>
      <c r="D3" s="54" t="n"/>
      <c r="E3" s="54" t="n"/>
      <c r="F3" s="54" t="n"/>
      <c r="G3" s="54" t="n"/>
      <c r="H3" s="54" t="n"/>
      <c r="I3" s="54" t="n"/>
      <c r="J3" s="54" t="n"/>
      <c r="K3" s="54" t="n"/>
      <c r="L3" s="54" t="n"/>
      <c r="M3" s="54" t="n"/>
      <c r="N3" s="54" t="n"/>
      <c r="O3" s="54" t="n"/>
      <c r="P3" s="54" t="n"/>
      <c r="Q3" s="54" t="n"/>
    </row>
    <row r="4">
      <c r="A4" s="56" t="inlineStr">
        <is>
          <t>topic_cluster</t>
        </is>
      </c>
      <c r="B4" s="57" t="inlineStr">
        <is>
          <t>short_drama_genre</t>
        </is>
      </c>
      <c r="C4" s="57" t="inlineStr">
        <is>
          <t>possible_logline</t>
        </is>
      </c>
      <c r="D4" s="57" t="inlineStr">
        <is>
          <t>target_audience</t>
        </is>
      </c>
      <c r="E4" s="57" t="inlineStr">
        <is>
          <t>reference_titles</t>
        </is>
      </c>
      <c r="F4" s="57" t="inlineStr">
        <is>
          <t>production_fit</t>
        </is>
      </c>
      <c r="G4" s="57" t="inlineStr">
        <is>
          <t>risk_notes</t>
        </is>
      </c>
      <c r="H4" s="58" t="inlineStr">
        <is>
          <t>opportunity_score</t>
        </is>
      </c>
      <c r="I4" s="54" t="n"/>
      <c r="J4" s="54" t="n"/>
      <c r="K4" s="54" t="n"/>
      <c r="L4" s="54" t="n"/>
      <c r="M4" s="54" t="n"/>
      <c r="N4" s="54" t="n"/>
      <c r="O4" s="54" t="n"/>
      <c r="P4" s="54" t="n"/>
      <c r="Q4" s="54" t="n"/>
    </row>
    <row r="5">
      <c r="A5" s="38" t="inlineStr">
        <is>
          <t>Single mom comeback</t>
        </is>
      </c>
      <c r="B5" s="39" t="inlineStr">
        <is>
          <t>女性成长 / 家庭伦理 / 逆袭</t>
        </is>
      </c>
      <c r="C5" s="39" t="inlineStr">
        <is>
          <t>A discarded single mother rebuilds her life, wins custody, and exposes the billionaire ex who tried to erase her.</t>
        </is>
      </c>
      <c r="D5" s="39" t="inlineStr">
        <is>
          <t>Women 25-44, romance/revenge viewers</t>
        </is>
      </c>
      <c r="E5" s="39" t="inlineStr">
        <is>
          <t>ReelShort/DramaBox romance-revenge baseline</t>
        </is>
      </c>
      <c r="F5" s="39" t="inlineStr">
        <is>
          <t>High: live-action, low VFX, strong hook density</t>
        </is>
      </c>
      <c r="G5" s="39" t="inlineStr">
        <is>
          <t>Low: avoid exploiting custody/legal trauma</t>
        </is>
      </c>
      <c r="H5" s="40">
        <f>IF($A$5="","",ROUND(0.35*VLOOKUP($A$5,topic_clusters!$A$5:$J$104,7,FALSE)+0.25*VLOOKUP($A$5,topic_clusters!$A$5:$J$104,8,FALSE)+0.2*VLOOKUP($A$5,topic_clusters!$A$5:$J$104,9,FALSE)+0.1*VLOOKUP($A$5,topic_clusters!$A$5:$J$104,10,FALSE)-10*IF(ISNUMBER(SEARCH("High",$G$5)),1,IF(ISNUMBER(SEARCH("Medium",$G$5)),0.5,0)),0))</f>
        <v/>
      </c>
      <c r="I5" s="54" t="n"/>
      <c r="J5" s="54" t="n"/>
      <c r="K5" s="54" t="n"/>
      <c r="L5" s="54" t="n"/>
      <c r="M5" s="54" t="n"/>
      <c r="N5" s="54" t="n"/>
      <c r="O5" s="54" t="n"/>
      <c r="P5" s="54" t="n"/>
      <c r="Q5" s="54" t="n"/>
    </row>
    <row r="6">
      <c r="A6" s="41" t="inlineStr">
        <is>
          <t>Cheating revenge storytime</t>
        </is>
      </c>
      <c r="B6" s="42" t="inlineStr">
        <is>
          <t>情感背叛 / 复仇爽感</t>
        </is>
      </c>
      <c r="C6" s="42" t="inlineStr">
        <is>
          <t>After catching her fiance cheating before the wedding, a quiet bride allies with his rival and takes back the family empire.</t>
        </is>
      </c>
      <c r="D6" s="42" t="inlineStr">
        <is>
          <t>Women 18-44, relationship storytime audience</t>
        </is>
      </c>
      <c r="E6" s="42" t="inlineStr">
        <is>
          <t>Romance revenge / betrayal arcs</t>
        </is>
      </c>
      <c r="F6" s="42" t="inlineStr">
        <is>
          <t>High: modern romance, high cliffhanger fit</t>
        </is>
      </c>
      <c r="G6" s="42" t="inlineStr">
        <is>
          <t>Medium: avoid defamatory real-person parallels</t>
        </is>
      </c>
      <c r="H6" s="43">
        <f>IF($A$6="","",ROUND(0.35*VLOOKUP($A$6,topic_clusters!$A$5:$J$104,7,FALSE)+0.25*VLOOKUP($A$6,topic_clusters!$A$5:$J$104,8,FALSE)+0.2*VLOOKUP($A$6,topic_clusters!$A$5:$J$104,9,FALSE)+0.1*VLOOKUP($A$6,topic_clusters!$A$5:$J$104,10,FALSE)-10*IF(ISNUMBER(SEARCH("High",$G$6)),1,IF(ISNUMBER(SEARCH("Medium",$G$6)),0.5,0)),0))</f>
        <v/>
      </c>
      <c r="I6" s="54" t="n"/>
      <c r="J6" s="54" t="n"/>
      <c r="K6" s="54" t="n"/>
      <c r="L6" s="54" t="n"/>
      <c r="M6" s="54" t="n"/>
      <c r="N6" s="54" t="n"/>
      <c r="O6" s="54" t="n"/>
      <c r="P6" s="54" t="n"/>
      <c r="Q6" s="54" t="n"/>
    </row>
    <row r="7">
      <c r="A7" s="41" t="inlineStr">
        <is>
          <t>Toxic relationship recovery</t>
        </is>
      </c>
      <c r="B7" s="42" t="inlineStr">
        <is>
          <t>女性成长 / 心理悬疑</t>
        </is>
      </c>
      <c r="C7" s="42" t="inlineStr">
        <is>
          <t>A woman escapes a charming manipulator, only to discover his next target is her younger sister.</t>
        </is>
      </c>
      <c r="D7" s="42" t="inlineStr">
        <is>
          <t>Women 18-40, advice/community discussion users</t>
        </is>
      </c>
      <c r="E7" s="42" t="inlineStr">
        <is>
          <t>Suspense-romance hybrid</t>
        </is>
      </c>
      <c r="F7" s="42" t="inlineStr">
        <is>
          <t>Medium: needs careful tone and empathy</t>
        </is>
      </c>
      <c r="G7" s="42" t="inlineStr">
        <is>
          <t>Medium: domestic abuse depiction sensitivity</t>
        </is>
      </c>
      <c r="H7" s="43">
        <f>IF($A$7="","",ROUND(0.35*VLOOKUP($A$7,topic_clusters!$A$5:$J$104,7,FALSE)+0.25*VLOOKUP($A$7,topic_clusters!$A$5:$J$104,8,FALSE)+0.2*VLOOKUP($A$7,topic_clusters!$A$5:$J$104,9,FALSE)+0.1*VLOOKUP($A$7,topic_clusters!$A$5:$J$104,10,FALSE)-10*IF(ISNUMBER(SEARCH("High",$G$7)),1,IF(ISNUMBER(SEARCH("Medium",$G$7)),0.5,0)),0))</f>
        <v/>
      </c>
      <c r="I7" s="54" t="n"/>
      <c r="J7" s="54" t="n"/>
      <c r="K7" s="54" t="n"/>
      <c r="L7" s="54" t="n"/>
      <c r="M7" s="54" t="n"/>
      <c r="N7" s="54" t="n"/>
      <c r="O7" s="54" t="n"/>
      <c r="P7" s="54" t="n"/>
      <c r="Q7" s="54" t="n"/>
    </row>
    <row r="8">
      <c r="A8" s="41" t="inlineStr">
        <is>
          <t>Workplace justice arc</t>
        </is>
      </c>
      <c r="B8" s="42" t="inlineStr">
        <is>
          <t>职场压迫 / 阶层逆袭</t>
        </is>
      </c>
      <c r="C8" s="42" t="inlineStr">
        <is>
          <t>A fired assistant secretly becomes the investor who decides whether her abusive boss survives the merger.</t>
        </is>
      </c>
      <c r="D8" s="42" t="inlineStr">
        <is>
          <t>Women and workplace drama viewers</t>
        </is>
      </c>
      <c r="E8" s="42" t="inlineStr">
        <is>
          <t>Urban revenge / career comeback</t>
        </is>
      </c>
      <c r="F8" s="42" t="inlineStr">
        <is>
          <t>High: office locations, clear social conflict</t>
        </is>
      </c>
      <c r="G8" s="42" t="inlineStr">
        <is>
          <t>Low: keep employment claims fictional</t>
        </is>
      </c>
      <c r="H8" s="43">
        <f>IF($A$8="","",ROUND(0.35*VLOOKUP($A$8,topic_clusters!$A$5:$J$104,7,FALSE)+0.25*VLOOKUP($A$8,topic_clusters!$A$5:$J$104,8,FALSE)+0.2*VLOOKUP($A$8,topic_clusters!$A$5:$J$104,9,FALSE)+0.1*VLOOKUP($A$8,topic_clusters!$A$5:$J$104,10,FALSE)-10*IF(ISNUMBER(SEARCH("High",$G$8)),1,IF(ISNUMBER(SEARCH("Medium",$G$8)),0.5,0)),0))</f>
        <v/>
      </c>
      <c r="I8" s="54" t="n"/>
      <c r="J8" s="54" t="n"/>
      <c r="K8" s="54" t="n"/>
      <c r="L8" s="54" t="n"/>
      <c r="M8" s="54" t="n"/>
      <c r="N8" s="54" t="n"/>
      <c r="O8" s="54" t="n"/>
      <c r="P8" s="54" t="n"/>
      <c r="Q8" s="54" t="n"/>
    </row>
    <row r="9">
      <c r="A9" s="41" t="inlineStr">
        <is>
          <t>Mafia forbidden romance</t>
        </is>
      </c>
      <c r="B9" s="42" t="inlineStr">
        <is>
          <t>禁忌恋 / 黑帮言情</t>
        </is>
      </c>
      <c r="C9" s="42" t="inlineStr">
        <is>
          <t>A cautious nurse saves a wounded mafia heir and is pulled into a contract romance that becomes a war for trust.</t>
        </is>
      </c>
      <c r="D9" s="42" t="inlineStr">
        <is>
          <t>Romance fantasy readers/viewers</t>
        </is>
      </c>
      <c r="E9" s="42" t="inlineStr">
        <is>
          <t>Mafia romance / contract love</t>
        </is>
      </c>
      <c r="F9" s="42" t="inlineStr">
        <is>
          <t>Medium: strong hooks, but needs stylized production</t>
        </is>
      </c>
      <c r="G9" s="42" t="inlineStr">
        <is>
          <t>High: violence, coercion, brand-safety risk</t>
        </is>
      </c>
      <c r="H9" s="43">
        <f>IF($A$9="","",ROUND(0.35*VLOOKUP($A$9,topic_clusters!$A$5:$J$104,7,FALSE)+0.25*VLOOKUP($A$9,topic_clusters!$A$5:$J$104,8,FALSE)+0.2*VLOOKUP($A$9,topic_clusters!$A$5:$J$104,9,FALSE)+0.1*VLOOKUP($A$9,topic_clusters!$A$5:$J$104,10,FALSE)-10*IF(ISNUMBER(SEARCH("High",$G$9)),1,IF(ISNUMBER(SEARCH("Medium",$G$9)),0.5,0)),0))</f>
        <v/>
      </c>
      <c r="I9" s="54" t="n"/>
      <c r="J9" s="54" t="n"/>
      <c r="K9" s="54" t="n"/>
      <c r="L9" s="54" t="n"/>
      <c r="M9" s="54" t="n"/>
      <c r="N9" s="54" t="n"/>
      <c r="O9" s="54" t="n"/>
      <c r="P9" s="54" t="n"/>
      <c r="Q9" s="54" t="n"/>
    </row>
    <row r="10">
      <c r="A10" s="41" t="inlineStr">
        <is>
          <t>Werewolf rejected mate</t>
        </is>
      </c>
      <c r="B10" s="42" t="inlineStr">
        <is>
          <t>狼人 / 吸血鬼 / 奇幻言情</t>
        </is>
      </c>
      <c r="C10" s="42" t="inlineStr">
        <is>
          <t>Rejected by her alpha mate, an omega discovers a hidden bloodline and becomes the only person who can stop a pack war.</t>
        </is>
      </c>
      <c r="D10" s="42" t="inlineStr">
        <is>
          <t>YA/new adult fantasy romance viewers</t>
        </is>
      </c>
      <c r="E10" s="42" t="inlineStr">
        <is>
          <t>Werewolf mate / alpha romance</t>
        </is>
      </c>
      <c r="F10" s="42" t="inlineStr">
        <is>
          <t>Medium: AI/VFX or motion-comic friendly</t>
        </is>
      </c>
      <c r="G10" s="42" t="inlineStr">
        <is>
          <t>Medium: category crowded; needs twist</t>
        </is>
      </c>
      <c r="H10" s="43">
        <f>IF($A$10="","",ROUND(0.35*VLOOKUP($A$10,topic_clusters!$A$5:$J$104,7,FALSE)+0.25*VLOOKUP($A$10,topic_clusters!$A$5:$J$104,8,FALSE)+0.2*VLOOKUP($A$10,topic_clusters!$A$5:$J$104,9,FALSE)+0.1*VLOOKUP($A$10,topic_clusters!$A$5:$J$104,10,FALSE)-10*IF(ISNUMBER(SEARCH("High",$G$10)),1,IF(ISNUMBER(SEARCH("Medium",$G$10)),0.5,0)),0))</f>
        <v/>
      </c>
      <c r="I10" s="54" t="n"/>
      <c r="J10" s="54" t="n"/>
      <c r="K10" s="54" t="n"/>
      <c r="L10" s="54" t="n"/>
      <c r="M10" s="54" t="n"/>
      <c r="N10" s="54" t="n"/>
      <c r="O10" s="54" t="n"/>
      <c r="P10" s="54" t="n"/>
      <c r="Q10" s="54" t="n"/>
    </row>
    <row r="11">
      <c r="A11" s="41" t="n"/>
      <c r="B11" s="42" t="n"/>
      <c r="C11" s="42" t="n"/>
      <c r="D11" s="42" t="n"/>
      <c r="E11" s="42" t="n"/>
      <c r="F11" s="42" t="n"/>
      <c r="G11" s="42" t="n"/>
      <c r="H11" s="43">
        <f>IF($A$11="","",ROUND(0.35*VLOOKUP($A$11,topic_clusters!$A$5:$J$104,7,FALSE)+0.25*VLOOKUP($A$11,topic_clusters!$A$5:$J$104,8,FALSE)+0.2*VLOOKUP($A$11,topic_clusters!$A$5:$J$104,9,FALSE)+0.1*VLOOKUP($A$11,topic_clusters!$A$5:$J$104,10,FALSE)-10*IF(ISNUMBER(SEARCH("High",$G$11)),1,IF(ISNUMBER(SEARCH("Medium",$G$11)),0.5,0)),0))</f>
        <v/>
      </c>
      <c r="I11" s="54" t="n"/>
      <c r="J11" s="54" t="n"/>
      <c r="K11" s="54" t="n"/>
      <c r="L11" s="54" t="n"/>
      <c r="M11" s="54" t="n"/>
      <c r="N11" s="54" t="n"/>
      <c r="O11" s="54" t="n"/>
      <c r="P11" s="54" t="n"/>
      <c r="Q11" s="54" t="n"/>
    </row>
    <row r="12">
      <c r="A12" s="41" t="n"/>
      <c r="B12" s="42" t="n"/>
      <c r="C12" s="42" t="n"/>
      <c r="D12" s="42" t="n"/>
      <c r="E12" s="42" t="n"/>
      <c r="F12" s="42" t="n"/>
      <c r="G12" s="42" t="n"/>
      <c r="H12" s="43">
        <f>IF($A$12="","",ROUND(0.35*VLOOKUP($A$12,topic_clusters!$A$5:$J$104,7,FALSE)+0.25*VLOOKUP($A$12,topic_clusters!$A$5:$J$104,8,FALSE)+0.2*VLOOKUP($A$12,topic_clusters!$A$5:$J$104,9,FALSE)+0.1*VLOOKUP($A$12,topic_clusters!$A$5:$J$104,10,FALSE)-10*IF(ISNUMBER(SEARCH("High",$G$12)),1,IF(ISNUMBER(SEARCH("Medium",$G$12)),0.5,0)),0))</f>
        <v/>
      </c>
      <c r="I12" s="54" t="n"/>
      <c r="J12" s="54" t="n"/>
      <c r="K12" s="54" t="n"/>
      <c r="L12" s="54" t="n"/>
      <c r="M12" s="54" t="n"/>
      <c r="N12" s="54" t="n"/>
      <c r="O12" s="54" t="n"/>
      <c r="P12" s="54" t="n"/>
      <c r="Q12" s="54" t="n"/>
    </row>
    <row r="13">
      <c r="A13" s="41" t="n"/>
      <c r="B13" s="42" t="n"/>
      <c r="C13" s="42" t="n"/>
      <c r="D13" s="42" t="n"/>
      <c r="E13" s="42" t="n"/>
      <c r="F13" s="42" t="n"/>
      <c r="G13" s="42" t="n"/>
      <c r="H13" s="43">
        <f>IF($A$13="","",ROUND(0.35*VLOOKUP($A$13,topic_clusters!$A$5:$J$104,7,FALSE)+0.25*VLOOKUP($A$13,topic_clusters!$A$5:$J$104,8,FALSE)+0.2*VLOOKUP($A$13,topic_clusters!$A$5:$J$104,9,FALSE)+0.1*VLOOKUP($A$13,topic_clusters!$A$5:$J$104,10,FALSE)-10*IF(ISNUMBER(SEARCH("High",$G$13)),1,IF(ISNUMBER(SEARCH("Medium",$G$13)),0.5,0)),0))</f>
        <v/>
      </c>
      <c r="I13" s="54" t="n"/>
      <c r="J13" s="54" t="n"/>
      <c r="K13" s="54" t="n"/>
      <c r="L13" s="54" t="n"/>
      <c r="M13" s="54" t="n"/>
      <c r="N13" s="54" t="n"/>
      <c r="O13" s="54" t="n"/>
      <c r="P13" s="54" t="n"/>
      <c r="Q13" s="54" t="n"/>
    </row>
    <row r="14">
      <c r="A14" s="41" t="n"/>
      <c r="B14" s="42" t="n"/>
      <c r="C14" s="42" t="n"/>
      <c r="D14" s="42" t="n"/>
      <c r="E14" s="42" t="n"/>
      <c r="F14" s="42" t="n"/>
      <c r="G14" s="42" t="n"/>
      <c r="H14" s="43">
        <f>IF($A$14="","",ROUND(0.35*VLOOKUP($A$14,topic_clusters!$A$5:$J$104,7,FALSE)+0.25*VLOOKUP($A$14,topic_clusters!$A$5:$J$104,8,FALSE)+0.2*VLOOKUP($A$14,topic_clusters!$A$5:$J$104,9,FALSE)+0.1*VLOOKUP($A$14,topic_clusters!$A$5:$J$104,10,FALSE)-10*IF(ISNUMBER(SEARCH("High",$G$14)),1,IF(ISNUMBER(SEARCH("Medium",$G$14)),0.5,0)),0))</f>
        <v/>
      </c>
      <c r="I14" s="54" t="n"/>
      <c r="J14" s="54" t="n"/>
      <c r="K14" s="54" t="n"/>
      <c r="L14" s="54" t="n"/>
      <c r="M14" s="54" t="n"/>
      <c r="N14" s="54" t="n"/>
      <c r="O14" s="54" t="n"/>
      <c r="P14" s="54" t="n"/>
      <c r="Q14" s="54" t="n"/>
    </row>
    <row r="15">
      <c r="A15" s="41" t="n"/>
      <c r="B15" s="42" t="n"/>
      <c r="C15" s="42" t="n"/>
      <c r="D15" s="42" t="n"/>
      <c r="E15" s="42" t="n"/>
      <c r="F15" s="42" t="n"/>
      <c r="G15" s="42" t="n"/>
      <c r="H15" s="43">
        <f>IF($A$15="","",ROUND(0.35*VLOOKUP($A$15,topic_clusters!$A$5:$J$104,7,FALSE)+0.25*VLOOKUP($A$15,topic_clusters!$A$5:$J$104,8,FALSE)+0.2*VLOOKUP($A$15,topic_clusters!$A$5:$J$104,9,FALSE)+0.1*VLOOKUP($A$15,topic_clusters!$A$5:$J$104,10,FALSE)-10*IF(ISNUMBER(SEARCH("High",$G$15)),1,IF(ISNUMBER(SEARCH("Medium",$G$15)),0.5,0)),0))</f>
        <v/>
      </c>
      <c r="I15" s="54" t="n"/>
      <c r="J15" s="54" t="n"/>
      <c r="K15" s="54" t="n"/>
      <c r="L15" s="54" t="n"/>
      <c r="M15" s="54" t="n"/>
      <c r="N15" s="54" t="n"/>
      <c r="O15" s="54" t="n"/>
      <c r="P15" s="54" t="n"/>
      <c r="Q15" s="54" t="n"/>
    </row>
    <row r="16">
      <c r="A16" s="41" t="n"/>
      <c r="B16" s="42" t="n"/>
      <c r="C16" s="42" t="n"/>
      <c r="D16" s="42" t="n"/>
      <c r="E16" s="42" t="n"/>
      <c r="F16" s="42" t="n"/>
      <c r="G16" s="42" t="n"/>
      <c r="H16" s="43">
        <f>IF($A$16="","",ROUND(0.35*VLOOKUP($A$16,topic_clusters!$A$5:$J$104,7,FALSE)+0.25*VLOOKUP($A$16,topic_clusters!$A$5:$J$104,8,FALSE)+0.2*VLOOKUP($A$16,topic_clusters!$A$5:$J$104,9,FALSE)+0.1*VLOOKUP($A$16,topic_clusters!$A$5:$J$104,10,FALSE)-10*IF(ISNUMBER(SEARCH("High",$G$16)),1,IF(ISNUMBER(SEARCH("Medium",$G$16)),0.5,0)),0))</f>
        <v/>
      </c>
      <c r="I16" s="54" t="n"/>
      <c r="J16" s="54" t="n"/>
      <c r="K16" s="54" t="n"/>
      <c r="L16" s="54" t="n"/>
      <c r="M16" s="54" t="n"/>
      <c r="N16" s="54" t="n"/>
      <c r="O16" s="54" t="n"/>
      <c r="P16" s="54" t="n"/>
      <c r="Q16" s="54" t="n"/>
    </row>
    <row r="17">
      <c r="A17" s="41" t="n"/>
      <c r="B17" s="42" t="n"/>
      <c r="C17" s="42" t="n"/>
      <c r="D17" s="42" t="n"/>
      <c r="E17" s="42" t="n"/>
      <c r="F17" s="42" t="n"/>
      <c r="G17" s="42" t="n"/>
      <c r="H17" s="43">
        <f>IF($A$17="","",ROUND(0.35*VLOOKUP($A$17,topic_clusters!$A$5:$J$104,7,FALSE)+0.25*VLOOKUP($A$17,topic_clusters!$A$5:$J$104,8,FALSE)+0.2*VLOOKUP($A$17,topic_clusters!$A$5:$J$104,9,FALSE)+0.1*VLOOKUP($A$17,topic_clusters!$A$5:$J$104,10,FALSE)-10*IF(ISNUMBER(SEARCH("High",$G$17)),1,IF(ISNUMBER(SEARCH("Medium",$G$17)),0.5,0)),0))</f>
        <v/>
      </c>
      <c r="I17" s="54" t="n"/>
      <c r="J17" s="54" t="n"/>
      <c r="K17" s="54" t="n"/>
      <c r="L17" s="54" t="n"/>
      <c r="M17" s="54" t="n"/>
      <c r="N17" s="54" t="n"/>
      <c r="O17" s="54" t="n"/>
      <c r="P17" s="54" t="n"/>
      <c r="Q17" s="54" t="n"/>
    </row>
    <row r="18">
      <c r="A18" s="41" t="n"/>
      <c r="B18" s="42" t="n"/>
      <c r="C18" s="42" t="n"/>
      <c r="D18" s="42" t="n"/>
      <c r="E18" s="42" t="n"/>
      <c r="F18" s="42" t="n"/>
      <c r="G18" s="42" t="n"/>
      <c r="H18" s="43">
        <f>IF($A$18="","",ROUND(0.35*VLOOKUP($A$18,topic_clusters!$A$5:$J$104,7,FALSE)+0.25*VLOOKUP($A$18,topic_clusters!$A$5:$J$104,8,FALSE)+0.2*VLOOKUP($A$18,topic_clusters!$A$5:$J$104,9,FALSE)+0.1*VLOOKUP($A$18,topic_clusters!$A$5:$J$104,10,FALSE)-10*IF(ISNUMBER(SEARCH("High",$G$18)),1,IF(ISNUMBER(SEARCH("Medium",$G$18)),0.5,0)),0))</f>
        <v/>
      </c>
      <c r="I18" s="54" t="n"/>
      <c r="J18" s="54" t="n"/>
      <c r="K18" s="54" t="n"/>
      <c r="L18" s="54" t="n"/>
      <c r="M18" s="54" t="n"/>
      <c r="N18" s="54" t="n"/>
      <c r="O18" s="54" t="n"/>
      <c r="P18" s="54" t="n"/>
      <c r="Q18" s="54" t="n"/>
    </row>
    <row r="19">
      <c r="A19" s="41" t="n"/>
      <c r="B19" s="42" t="n"/>
      <c r="C19" s="42" t="n"/>
      <c r="D19" s="42" t="n"/>
      <c r="E19" s="42" t="n"/>
      <c r="F19" s="42" t="n"/>
      <c r="G19" s="42" t="n"/>
      <c r="H19" s="43">
        <f>IF($A$19="","",ROUND(0.35*VLOOKUP($A$19,topic_clusters!$A$5:$J$104,7,FALSE)+0.25*VLOOKUP($A$19,topic_clusters!$A$5:$J$104,8,FALSE)+0.2*VLOOKUP($A$19,topic_clusters!$A$5:$J$104,9,FALSE)+0.1*VLOOKUP($A$19,topic_clusters!$A$5:$J$104,10,FALSE)-10*IF(ISNUMBER(SEARCH("High",$G$19)),1,IF(ISNUMBER(SEARCH("Medium",$G$19)),0.5,0)),0))</f>
        <v/>
      </c>
      <c r="I19" s="54" t="n"/>
      <c r="J19" s="54" t="n"/>
      <c r="K19" s="54" t="n"/>
      <c r="L19" s="54" t="n"/>
      <c r="M19" s="54" t="n"/>
      <c r="N19" s="54" t="n"/>
      <c r="O19" s="54" t="n"/>
      <c r="P19" s="54" t="n"/>
      <c r="Q19" s="54" t="n"/>
    </row>
    <row r="20">
      <c r="A20" s="41" t="n"/>
      <c r="B20" s="42" t="n"/>
      <c r="C20" s="42" t="n"/>
      <c r="D20" s="42" t="n"/>
      <c r="E20" s="42" t="n"/>
      <c r="F20" s="42" t="n"/>
      <c r="G20" s="42" t="n"/>
      <c r="H20" s="43">
        <f>IF($A$20="","",ROUND(0.35*VLOOKUP($A$20,topic_clusters!$A$5:$J$104,7,FALSE)+0.25*VLOOKUP($A$20,topic_clusters!$A$5:$J$104,8,FALSE)+0.2*VLOOKUP($A$20,topic_clusters!$A$5:$J$104,9,FALSE)+0.1*VLOOKUP($A$20,topic_clusters!$A$5:$J$104,10,FALSE)-10*IF(ISNUMBER(SEARCH("High",$G$20)),1,IF(ISNUMBER(SEARCH("Medium",$G$20)),0.5,0)),0))</f>
        <v/>
      </c>
      <c r="I20" s="54" t="n"/>
      <c r="J20" s="54" t="n"/>
      <c r="K20" s="54" t="n"/>
      <c r="L20" s="54" t="n"/>
      <c r="M20" s="54" t="n"/>
      <c r="N20" s="54" t="n"/>
      <c r="O20" s="54" t="n"/>
      <c r="P20" s="54" t="n"/>
      <c r="Q20" s="54" t="n"/>
    </row>
    <row r="21">
      <c r="A21" s="41" t="n"/>
      <c r="B21" s="42" t="n"/>
      <c r="C21" s="42" t="n"/>
      <c r="D21" s="42" t="n"/>
      <c r="E21" s="42" t="n"/>
      <c r="F21" s="42" t="n"/>
      <c r="G21" s="42" t="n"/>
      <c r="H21" s="43">
        <f>IF($A$21="","",ROUND(0.35*VLOOKUP($A$21,topic_clusters!$A$5:$J$104,7,FALSE)+0.25*VLOOKUP($A$21,topic_clusters!$A$5:$J$104,8,FALSE)+0.2*VLOOKUP($A$21,topic_clusters!$A$5:$J$104,9,FALSE)+0.1*VLOOKUP($A$21,topic_clusters!$A$5:$J$104,10,FALSE)-10*IF(ISNUMBER(SEARCH("High",$G$21)),1,IF(ISNUMBER(SEARCH("Medium",$G$21)),0.5,0)),0))</f>
        <v/>
      </c>
      <c r="I21" s="54" t="n"/>
      <c r="J21" s="54" t="n"/>
      <c r="K21" s="54" t="n"/>
      <c r="L21" s="54" t="n"/>
      <c r="M21" s="54" t="n"/>
      <c r="N21" s="54" t="n"/>
      <c r="O21" s="54" t="n"/>
      <c r="P21" s="54" t="n"/>
      <c r="Q21" s="54" t="n"/>
    </row>
    <row r="22">
      <c r="A22" s="41" t="n"/>
      <c r="B22" s="42" t="n"/>
      <c r="C22" s="42" t="n"/>
      <c r="D22" s="42" t="n"/>
      <c r="E22" s="42" t="n"/>
      <c r="F22" s="42" t="n"/>
      <c r="G22" s="42" t="n"/>
      <c r="H22" s="43">
        <f>IF($A$22="","",ROUND(0.35*VLOOKUP($A$22,topic_clusters!$A$5:$J$104,7,FALSE)+0.25*VLOOKUP($A$22,topic_clusters!$A$5:$J$104,8,FALSE)+0.2*VLOOKUP($A$22,topic_clusters!$A$5:$J$104,9,FALSE)+0.1*VLOOKUP($A$22,topic_clusters!$A$5:$J$104,10,FALSE)-10*IF(ISNUMBER(SEARCH("High",$G$22)),1,IF(ISNUMBER(SEARCH("Medium",$G$22)),0.5,0)),0))</f>
        <v/>
      </c>
      <c r="I22" s="54" t="n"/>
      <c r="J22" s="54" t="n"/>
      <c r="K22" s="54" t="n"/>
      <c r="L22" s="54" t="n"/>
      <c r="M22" s="54" t="n"/>
      <c r="N22" s="54" t="n"/>
      <c r="O22" s="54" t="n"/>
      <c r="P22" s="54" t="n"/>
      <c r="Q22" s="54" t="n"/>
    </row>
    <row r="23">
      <c r="A23" s="41" t="n"/>
      <c r="B23" s="42" t="n"/>
      <c r="C23" s="42" t="n"/>
      <c r="D23" s="42" t="n"/>
      <c r="E23" s="42" t="n"/>
      <c r="F23" s="42" t="n"/>
      <c r="G23" s="42" t="n"/>
      <c r="H23" s="43">
        <f>IF($A$23="","",ROUND(0.35*VLOOKUP($A$23,topic_clusters!$A$5:$J$104,7,FALSE)+0.25*VLOOKUP($A$23,topic_clusters!$A$5:$J$104,8,FALSE)+0.2*VLOOKUP($A$23,topic_clusters!$A$5:$J$104,9,FALSE)+0.1*VLOOKUP($A$23,topic_clusters!$A$5:$J$104,10,FALSE)-10*IF(ISNUMBER(SEARCH("High",$G$23)),1,IF(ISNUMBER(SEARCH("Medium",$G$23)),0.5,0)),0))</f>
        <v/>
      </c>
      <c r="I23" s="54" t="n"/>
      <c r="J23" s="54" t="n"/>
      <c r="K23" s="54" t="n"/>
      <c r="L23" s="54" t="n"/>
      <c r="M23" s="54" t="n"/>
      <c r="N23" s="54" t="n"/>
      <c r="O23" s="54" t="n"/>
      <c r="P23" s="54" t="n"/>
      <c r="Q23" s="54" t="n"/>
    </row>
    <row r="24">
      <c r="A24" s="41" t="n"/>
      <c r="B24" s="42" t="n"/>
      <c r="C24" s="42" t="n"/>
      <c r="D24" s="42" t="n"/>
      <c r="E24" s="42" t="n"/>
      <c r="F24" s="42" t="n"/>
      <c r="G24" s="42" t="n"/>
      <c r="H24" s="43">
        <f>IF($A$24="","",ROUND(0.35*VLOOKUP($A$24,topic_clusters!$A$5:$J$104,7,FALSE)+0.25*VLOOKUP($A$24,topic_clusters!$A$5:$J$104,8,FALSE)+0.2*VLOOKUP($A$24,topic_clusters!$A$5:$J$104,9,FALSE)+0.1*VLOOKUP($A$24,topic_clusters!$A$5:$J$104,10,FALSE)-10*IF(ISNUMBER(SEARCH("High",$G$24)),1,IF(ISNUMBER(SEARCH("Medium",$G$24)),0.5,0)),0))</f>
        <v/>
      </c>
      <c r="I24" s="54" t="n"/>
      <c r="J24" s="54" t="n"/>
      <c r="K24" s="54" t="n"/>
      <c r="L24" s="54" t="n"/>
      <c r="M24" s="54" t="n"/>
      <c r="N24" s="54" t="n"/>
      <c r="O24" s="54" t="n"/>
      <c r="P24" s="54" t="n"/>
      <c r="Q24" s="54" t="n"/>
    </row>
    <row r="25">
      <c r="A25" s="41" t="n"/>
      <c r="B25" s="42" t="n"/>
      <c r="C25" s="42" t="n"/>
      <c r="D25" s="42" t="n"/>
      <c r="E25" s="42" t="n"/>
      <c r="F25" s="42" t="n"/>
      <c r="G25" s="42" t="n"/>
      <c r="H25" s="43">
        <f>IF($A$25="","",ROUND(0.35*VLOOKUP($A$25,topic_clusters!$A$5:$J$104,7,FALSE)+0.25*VLOOKUP($A$25,topic_clusters!$A$5:$J$104,8,FALSE)+0.2*VLOOKUP($A$25,topic_clusters!$A$5:$J$104,9,FALSE)+0.1*VLOOKUP($A$25,topic_clusters!$A$5:$J$104,10,FALSE)-10*IF(ISNUMBER(SEARCH("High",$G$25)),1,IF(ISNUMBER(SEARCH("Medium",$G$25)),0.5,0)),0))</f>
        <v/>
      </c>
      <c r="I25" s="54" t="n"/>
      <c r="J25" s="54" t="n"/>
      <c r="K25" s="54" t="n"/>
      <c r="L25" s="54" t="n"/>
      <c r="M25" s="54" t="n"/>
      <c r="N25" s="54" t="n"/>
      <c r="O25" s="54" t="n"/>
      <c r="P25" s="54" t="n"/>
      <c r="Q25" s="54" t="n"/>
    </row>
    <row r="26">
      <c r="A26" s="41" t="n"/>
      <c r="B26" s="42" t="n"/>
      <c r="C26" s="42" t="n"/>
      <c r="D26" s="42" t="n"/>
      <c r="E26" s="42" t="n"/>
      <c r="F26" s="42" t="n"/>
      <c r="G26" s="42" t="n"/>
      <c r="H26" s="43">
        <f>IF($A$26="","",ROUND(0.35*VLOOKUP($A$26,topic_clusters!$A$5:$J$104,7,FALSE)+0.25*VLOOKUP($A$26,topic_clusters!$A$5:$J$104,8,FALSE)+0.2*VLOOKUP($A$26,topic_clusters!$A$5:$J$104,9,FALSE)+0.1*VLOOKUP($A$26,topic_clusters!$A$5:$J$104,10,FALSE)-10*IF(ISNUMBER(SEARCH("High",$G$26)),1,IF(ISNUMBER(SEARCH("Medium",$G$26)),0.5,0)),0))</f>
        <v/>
      </c>
      <c r="I26" s="54" t="n"/>
      <c r="J26" s="54" t="n"/>
      <c r="K26" s="54" t="n"/>
      <c r="L26" s="54" t="n"/>
      <c r="M26" s="54" t="n"/>
      <c r="N26" s="54" t="n"/>
      <c r="O26" s="54" t="n"/>
      <c r="P26" s="54" t="n"/>
      <c r="Q26" s="54" t="n"/>
    </row>
    <row r="27">
      <c r="A27" s="41" t="n"/>
      <c r="B27" s="42" t="n"/>
      <c r="C27" s="42" t="n"/>
      <c r="D27" s="42" t="n"/>
      <c r="E27" s="42" t="n"/>
      <c r="F27" s="42" t="n"/>
      <c r="G27" s="42" t="n"/>
      <c r="H27" s="43">
        <f>IF($A$27="","",ROUND(0.35*VLOOKUP($A$27,topic_clusters!$A$5:$J$104,7,FALSE)+0.25*VLOOKUP($A$27,topic_clusters!$A$5:$J$104,8,FALSE)+0.2*VLOOKUP($A$27,topic_clusters!$A$5:$J$104,9,FALSE)+0.1*VLOOKUP($A$27,topic_clusters!$A$5:$J$104,10,FALSE)-10*IF(ISNUMBER(SEARCH("High",$G$27)),1,IF(ISNUMBER(SEARCH("Medium",$G$27)),0.5,0)),0))</f>
        <v/>
      </c>
      <c r="I27" s="54" t="n"/>
      <c r="J27" s="54" t="n"/>
      <c r="K27" s="54" t="n"/>
      <c r="L27" s="54" t="n"/>
      <c r="M27" s="54" t="n"/>
      <c r="N27" s="54" t="n"/>
      <c r="O27" s="54" t="n"/>
      <c r="P27" s="54" t="n"/>
      <c r="Q27" s="54" t="n"/>
    </row>
    <row r="28">
      <c r="A28" s="41" t="n"/>
      <c r="B28" s="42" t="n"/>
      <c r="C28" s="42" t="n"/>
      <c r="D28" s="42" t="n"/>
      <c r="E28" s="42" t="n"/>
      <c r="F28" s="42" t="n"/>
      <c r="G28" s="42" t="n"/>
      <c r="H28" s="43">
        <f>IF($A$28="","",ROUND(0.35*VLOOKUP($A$28,topic_clusters!$A$5:$J$104,7,FALSE)+0.25*VLOOKUP($A$28,topic_clusters!$A$5:$J$104,8,FALSE)+0.2*VLOOKUP($A$28,topic_clusters!$A$5:$J$104,9,FALSE)+0.1*VLOOKUP($A$28,topic_clusters!$A$5:$J$104,10,FALSE)-10*IF(ISNUMBER(SEARCH("High",$G$28)),1,IF(ISNUMBER(SEARCH("Medium",$G$28)),0.5,0)),0))</f>
        <v/>
      </c>
      <c r="I28" s="54" t="n"/>
      <c r="J28" s="54" t="n"/>
      <c r="K28" s="54" t="n"/>
      <c r="L28" s="54" t="n"/>
      <c r="M28" s="54" t="n"/>
      <c r="N28" s="54" t="n"/>
      <c r="O28" s="54" t="n"/>
      <c r="P28" s="54" t="n"/>
      <c r="Q28" s="54" t="n"/>
    </row>
    <row r="29">
      <c r="A29" s="41" t="n"/>
      <c r="B29" s="42" t="n"/>
      <c r="C29" s="42" t="n"/>
      <c r="D29" s="42" t="n"/>
      <c r="E29" s="42" t="n"/>
      <c r="F29" s="42" t="n"/>
      <c r="G29" s="42" t="n"/>
      <c r="H29" s="43">
        <f>IF($A$29="","",ROUND(0.35*VLOOKUP($A$29,topic_clusters!$A$5:$J$104,7,FALSE)+0.25*VLOOKUP($A$29,topic_clusters!$A$5:$J$104,8,FALSE)+0.2*VLOOKUP($A$29,topic_clusters!$A$5:$J$104,9,FALSE)+0.1*VLOOKUP($A$29,topic_clusters!$A$5:$J$104,10,FALSE)-10*IF(ISNUMBER(SEARCH("High",$G$29)),1,IF(ISNUMBER(SEARCH("Medium",$G$29)),0.5,0)),0))</f>
        <v/>
      </c>
      <c r="I29" s="54" t="n"/>
      <c r="J29" s="54" t="n"/>
      <c r="K29" s="54" t="n"/>
      <c r="L29" s="54" t="n"/>
      <c r="M29" s="54" t="n"/>
      <c r="N29" s="54" t="n"/>
      <c r="O29" s="54" t="n"/>
      <c r="P29" s="54" t="n"/>
      <c r="Q29" s="54" t="n"/>
    </row>
    <row r="30">
      <c r="A30" s="41" t="n"/>
      <c r="B30" s="42" t="n"/>
      <c r="C30" s="42" t="n"/>
      <c r="D30" s="42" t="n"/>
      <c r="E30" s="42" t="n"/>
      <c r="F30" s="42" t="n"/>
      <c r="G30" s="42" t="n"/>
      <c r="H30" s="43">
        <f>IF($A$30="","",ROUND(0.35*VLOOKUP($A$30,topic_clusters!$A$5:$J$104,7,FALSE)+0.25*VLOOKUP($A$30,topic_clusters!$A$5:$J$104,8,FALSE)+0.2*VLOOKUP($A$30,topic_clusters!$A$5:$J$104,9,FALSE)+0.1*VLOOKUP($A$30,topic_clusters!$A$5:$J$104,10,FALSE)-10*IF(ISNUMBER(SEARCH("High",$G$30)),1,IF(ISNUMBER(SEARCH("Medium",$G$30)),0.5,0)),0))</f>
        <v/>
      </c>
      <c r="I30" s="54" t="n"/>
      <c r="J30" s="54" t="n"/>
      <c r="K30" s="54" t="n"/>
      <c r="L30" s="54" t="n"/>
      <c r="M30" s="54" t="n"/>
      <c r="N30" s="54" t="n"/>
      <c r="O30" s="54" t="n"/>
      <c r="P30" s="54" t="n"/>
      <c r="Q30" s="54" t="n"/>
    </row>
    <row r="31">
      <c r="A31" s="41" t="n"/>
      <c r="B31" s="42" t="n"/>
      <c r="C31" s="42" t="n"/>
      <c r="D31" s="42" t="n"/>
      <c r="E31" s="42" t="n"/>
      <c r="F31" s="42" t="n"/>
      <c r="G31" s="42" t="n"/>
      <c r="H31" s="43">
        <f>IF($A$31="","",ROUND(0.35*VLOOKUP($A$31,topic_clusters!$A$5:$J$104,7,FALSE)+0.25*VLOOKUP($A$31,topic_clusters!$A$5:$J$104,8,FALSE)+0.2*VLOOKUP($A$31,topic_clusters!$A$5:$J$104,9,FALSE)+0.1*VLOOKUP($A$31,topic_clusters!$A$5:$J$104,10,FALSE)-10*IF(ISNUMBER(SEARCH("High",$G$31)),1,IF(ISNUMBER(SEARCH("Medium",$G$31)),0.5,0)),0))</f>
        <v/>
      </c>
      <c r="I31" s="54" t="n"/>
      <c r="J31" s="54" t="n"/>
      <c r="K31" s="54" t="n"/>
      <c r="L31" s="54" t="n"/>
      <c r="M31" s="54" t="n"/>
      <c r="N31" s="54" t="n"/>
      <c r="O31" s="54" t="n"/>
      <c r="P31" s="54" t="n"/>
      <c r="Q31" s="54" t="n"/>
    </row>
    <row r="32">
      <c r="A32" s="41" t="n"/>
      <c r="B32" s="42" t="n"/>
      <c r="C32" s="42" t="n"/>
      <c r="D32" s="42" t="n"/>
      <c r="E32" s="42" t="n"/>
      <c r="F32" s="42" t="n"/>
      <c r="G32" s="42" t="n"/>
      <c r="H32" s="43">
        <f>IF($A$32="","",ROUND(0.35*VLOOKUP($A$32,topic_clusters!$A$5:$J$104,7,FALSE)+0.25*VLOOKUP($A$32,topic_clusters!$A$5:$J$104,8,FALSE)+0.2*VLOOKUP($A$32,topic_clusters!$A$5:$J$104,9,FALSE)+0.1*VLOOKUP($A$32,topic_clusters!$A$5:$J$104,10,FALSE)-10*IF(ISNUMBER(SEARCH("High",$G$32)),1,IF(ISNUMBER(SEARCH("Medium",$G$32)),0.5,0)),0))</f>
        <v/>
      </c>
      <c r="I32" s="54" t="n"/>
      <c r="J32" s="54" t="n"/>
      <c r="K32" s="54" t="n"/>
      <c r="L32" s="54" t="n"/>
      <c r="M32" s="54" t="n"/>
      <c r="N32" s="54" t="n"/>
      <c r="O32" s="54" t="n"/>
      <c r="P32" s="54" t="n"/>
      <c r="Q32" s="54" t="n"/>
    </row>
    <row r="33">
      <c r="A33" s="41" t="n"/>
      <c r="B33" s="42" t="n"/>
      <c r="C33" s="42" t="n"/>
      <c r="D33" s="42" t="n"/>
      <c r="E33" s="42" t="n"/>
      <c r="F33" s="42" t="n"/>
      <c r="G33" s="42" t="n"/>
      <c r="H33" s="43">
        <f>IF($A$33="","",ROUND(0.35*VLOOKUP($A$33,topic_clusters!$A$5:$J$104,7,FALSE)+0.25*VLOOKUP($A$33,topic_clusters!$A$5:$J$104,8,FALSE)+0.2*VLOOKUP($A$33,topic_clusters!$A$5:$J$104,9,FALSE)+0.1*VLOOKUP($A$33,topic_clusters!$A$5:$J$104,10,FALSE)-10*IF(ISNUMBER(SEARCH("High",$G$33)),1,IF(ISNUMBER(SEARCH("Medium",$G$33)),0.5,0)),0))</f>
        <v/>
      </c>
      <c r="I33" s="54" t="n"/>
      <c r="J33" s="54" t="n"/>
      <c r="K33" s="54" t="n"/>
      <c r="L33" s="54" t="n"/>
      <c r="M33" s="54" t="n"/>
      <c r="N33" s="54" t="n"/>
      <c r="O33" s="54" t="n"/>
      <c r="P33" s="54" t="n"/>
      <c r="Q33" s="54" t="n"/>
    </row>
    <row r="34">
      <c r="A34" s="41" t="n"/>
      <c r="B34" s="42" t="n"/>
      <c r="C34" s="42" t="n"/>
      <c r="D34" s="42" t="n"/>
      <c r="E34" s="42" t="n"/>
      <c r="F34" s="42" t="n"/>
      <c r="G34" s="42" t="n"/>
      <c r="H34" s="43">
        <f>IF($A$34="","",ROUND(0.35*VLOOKUP($A$34,topic_clusters!$A$5:$J$104,7,FALSE)+0.25*VLOOKUP($A$34,topic_clusters!$A$5:$J$104,8,FALSE)+0.2*VLOOKUP($A$34,topic_clusters!$A$5:$J$104,9,FALSE)+0.1*VLOOKUP($A$34,topic_clusters!$A$5:$J$104,10,FALSE)-10*IF(ISNUMBER(SEARCH("High",$G$34)),1,IF(ISNUMBER(SEARCH("Medium",$G$34)),0.5,0)),0))</f>
        <v/>
      </c>
      <c r="I34" s="54" t="n"/>
      <c r="J34" s="54" t="n"/>
      <c r="K34" s="54" t="n"/>
      <c r="L34" s="54" t="n"/>
      <c r="M34" s="54" t="n"/>
      <c r="N34" s="54" t="n"/>
      <c r="O34" s="54" t="n"/>
      <c r="P34" s="54" t="n"/>
      <c r="Q34" s="54" t="n"/>
    </row>
    <row r="35">
      <c r="A35" s="41" t="n"/>
      <c r="B35" s="42" t="n"/>
      <c r="C35" s="42" t="n"/>
      <c r="D35" s="42" t="n"/>
      <c r="E35" s="42" t="n"/>
      <c r="F35" s="42" t="n"/>
      <c r="G35" s="42" t="n"/>
      <c r="H35" s="43">
        <f>IF($A$35="","",ROUND(0.35*VLOOKUP($A$35,topic_clusters!$A$5:$J$104,7,FALSE)+0.25*VLOOKUP($A$35,topic_clusters!$A$5:$J$104,8,FALSE)+0.2*VLOOKUP($A$35,topic_clusters!$A$5:$J$104,9,FALSE)+0.1*VLOOKUP($A$35,topic_clusters!$A$5:$J$104,10,FALSE)-10*IF(ISNUMBER(SEARCH("High",$G$35)),1,IF(ISNUMBER(SEARCH("Medium",$G$35)),0.5,0)),0))</f>
        <v/>
      </c>
      <c r="I35" s="54" t="n"/>
      <c r="J35" s="54" t="n"/>
      <c r="K35" s="54" t="n"/>
      <c r="L35" s="54" t="n"/>
      <c r="M35" s="54" t="n"/>
      <c r="N35" s="54" t="n"/>
      <c r="O35" s="54" t="n"/>
      <c r="P35" s="54" t="n"/>
      <c r="Q35" s="54" t="n"/>
    </row>
    <row r="36">
      <c r="A36" s="41" t="n"/>
      <c r="B36" s="42" t="n"/>
      <c r="C36" s="42" t="n"/>
      <c r="D36" s="42" t="n"/>
      <c r="E36" s="42" t="n"/>
      <c r="F36" s="42" t="n"/>
      <c r="G36" s="42" t="n"/>
      <c r="H36" s="43">
        <f>IF($A$36="","",ROUND(0.35*VLOOKUP($A$36,topic_clusters!$A$5:$J$104,7,FALSE)+0.25*VLOOKUP($A$36,topic_clusters!$A$5:$J$104,8,FALSE)+0.2*VLOOKUP($A$36,topic_clusters!$A$5:$J$104,9,FALSE)+0.1*VLOOKUP($A$36,topic_clusters!$A$5:$J$104,10,FALSE)-10*IF(ISNUMBER(SEARCH("High",$G$36)),1,IF(ISNUMBER(SEARCH("Medium",$G$36)),0.5,0)),0))</f>
        <v/>
      </c>
      <c r="I36" s="54" t="n"/>
      <c r="J36" s="54" t="n"/>
      <c r="K36" s="54" t="n"/>
      <c r="L36" s="54" t="n"/>
      <c r="M36" s="54" t="n"/>
      <c r="N36" s="54" t="n"/>
      <c r="O36" s="54" t="n"/>
      <c r="P36" s="54" t="n"/>
      <c r="Q36" s="54" t="n"/>
    </row>
    <row r="37">
      <c r="A37" s="41" t="n"/>
      <c r="B37" s="42" t="n"/>
      <c r="C37" s="42" t="n"/>
      <c r="D37" s="42" t="n"/>
      <c r="E37" s="42" t="n"/>
      <c r="F37" s="42" t="n"/>
      <c r="G37" s="42" t="n"/>
      <c r="H37" s="43">
        <f>IF($A$37="","",ROUND(0.35*VLOOKUP($A$37,topic_clusters!$A$5:$J$104,7,FALSE)+0.25*VLOOKUP($A$37,topic_clusters!$A$5:$J$104,8,FALSE)+0.2*VLOOKUP($A$37,topic_clusters!$A$5:$J$104,9,FALSE)+0.1*VLOOKUP($A$37,topic_clusters!$A$5:$J$104,10,FALSE)-10*IF(ISNUMBER(SEARCH("High",$G$37)),1,IF(ISNUMBER(SEARCH("Medium",$G$37)),0.5,0)),0))</f>
        <v/>
      </c>
      <c r="I37" s="54" t="n"/>
      <c r="J37" s="54" t="n"/>
      <c r="K37" s="54" t="n"/>
      <c r="L37" s="54" t="n"/>
      <c r="M37" s="54" t="n"/>
      <c r="N37" s="54" t="n"/>
      <c r="O37" s="54" t="n"/>
      <c r="P37" s="54" t="n"/>
      <c r="Q37" s="54" t="n"/>
    </row>
    <row r="38">
      <c r="A38" s="41" t="n"/>
      <c r="B38" s="42" t="n"/>
      <c r="C38" s="42" t="n"/>
      <c r="D38" s="42" t="n"/>
      <c r="E38" s="42" t="n"/>
      <c r="F38" s="42" t="n"/>
      <c r="G38" s="42" t="n"/>
      <c r="H38" s="43">
        <f>IF($A$38="","",ROUND(0.35*VLOOKUP($A$38,topic_clusters!$A$5:$J$104,7,FALSE)+0.25*VLOOKUP($A$38,topic_clusters!$A$5:$J$104,8,FALSE)+0.2*VLOOKUP($A$38,topic_clusters!$A$5:$J$104,9,FALSE)+0.1*VLOOKUP($A$38,topic_clusters!$A$5:$J$104,10,FALSE)-10*IF(ISNUMBER(SEARCH("High",$G$38)),1,IF(ISNUMBER(SEARCH("Medium",$G$38)),0.5,0)),0))</f>
        <v/>
      </c>
      <c r="I38" s="54" t="n"/>
      <c r="J38" s="54" t="n"/>
      <c r="K38" s="54" t="n"/>
      <c r="L38" s="54" t="n"/>
      <c r="M38" s="54" t="n"/>
      <c r="N38" s="54" t="n"/>
      <c r="O38" s="54" t="n"/>
      <c r="P38" s="54" t="n"/>
      <c r="Q38" s="54" t="n"/>
    </row>
    <row r="39">
      <c r="A39" s="41" t="n"/>
      <c r="B39" s="42" t="n"/>
      <c r="C39" s="42" t="n"/>
      <c r="D39" s="42" t="n"/>
      <c r="E39" s="42" t="n"/>
      <c r="F39" s="42" t="n"/>
      <c r="G39" s="42" t="n"/>
      <c r="H39" s="43">
        <f>IF($A$39="","",ROUND(0.35*VLOOKUP($A$39,topic_clusters!$A$5:$J$104,7,FALSE)+0.25*VLOOKUP($A$39,topic_clusters!$A$5:$J$104,8,FALSE)+0.2*VLOOKUP($A$39,topic_clusters!$A$5:$J$104,9,FALSE)+0.1*VLOOKUP($A$39,topic_clusters!$A$5:$J$104,10,FALSE)-10*IF(ISNUMBER(SEARCH("High",$G$39)),1,IF(ISNUMBER(SEARCH("Medium",$G$39)),0.5,0)),0))</f>
        <v/>
      </c>
      <c r="I39" s="54" t="n"/>
      <c r="J39" s="54" t="n"/>
      <c r="K39" s="54" t="n"/>
      <c r="L39" s="54" t="n"/>
      <c r="M39" s="54" t="n"/>
      <c r="N39" s="54" t="n"/>
      <c r="O39" s="54" t="n"/>
      <c r="P39" s="54" t="n"/>
      <c r="Q39" s="54" t="n"/>
    </row>
    <row r="40">
      <c r="A40" s="41" t="n"/>
      <c r="B40" s="42" t="n"/>
      <c r="C40" s="42" t="n"/>
      <c r="D40" s="42" t="n"/>
      <c r="E40" s="42" t="n"/>
      <c r="F40" s="42" t="n"/>
      <c r="G40" s="42" t="n"/>
      <c r="H40" s="43">
        <f>IF($A$40="","",ROUND(0.35*VLOOKUP($A$40,topic_clusters!$A$5:$J$104,7,FALSE)+0.25*VLOOKUP($A$40,topic_clusters!$A$5:$J$104,8,FALSE)+0.2*VLOOKUP($A$40,topic_clusters!$A$5:$J$104,9,FALSE)+0.1*VLOOKUP($A$40,topic_clusters!$A$5:$J$104,10,FALSE)-10*IF(ISNUMBER(SEARCH("High",$G$40)),1,IF(ISNUMBER(SEARCH("Medium",$G$40)),0.5,0)),0))</f>
        <v/>
      </c>
      <c r="I40" s="54" t="n"/>
      <c r="J40" s="54" t="n"/>
      <c r="K40" s="54" t="n"/>
      <c r="L40" s="54" t="n"/>
      <c r="M40" s="54" t="n"/>
      <c r="N40" s="54" t="n"/>
      <c r="O40" s="54" t="n"/>
      <c r="P40" s="54" t="n"/>
      <c r="Q40" s="54" t="n"/>
    </row>
    <row r="41">
      <c r="A41" s="41" t="n"/>
      <c r="B41" s="42" t="n"/>
      <c r="C41" s="42" t="n"/>
      <c r="D41" s="42" t="n"/>
      <c r="E41" s="42" t="n"/>
      <c r="F41" s="42" t="n"/>
      <c r="G41" s="42" t="n"/>
      <c r="H41" s="43">
        <f>IF($A$41="","",ROUND(0.35*VLOOKUP($A$41,topic_clusters!$A$5:$J$104,7,FALSE)+0.25*VLOOKUP($A$41,topic_clusters!$A$5:$J$104,8,FALSE)+0.2*VLOOKUP($A$41,topic_clusters!$A$5:$J$104,9,FALSE)+0.1*VLOOKUP($A$41,topic_clusters!$A$5:$J$104,10,FALSE)-10*IF(ISNUMBER(SEARCH("High",$G$41)),1,IF(ISNUMBER(SEARCH("Medium",$G$41)),0.5,0)),0))</f>
        <v/>
      </c>
      <c r="I41" s="54" t="n"/>
      <c r="J41" s="54" t="n"/>
      <c r="K41" s="54" t="n"/>
      <c r="L41" s="54" t="n"/>
      <c r="M41" s="54" t="n"/>
      <c r="N41" s="54" t="n"/>
      <c r="O41" s="54" t="n"/>
      <c r="P41" s="54" t="n"/>
      <c r="Q41" s="54" t="n"/>
    </row>
    <row r="42">
      <c r="A42" s="41" t="n"/>
      <c r="B42" s="42" t="n"/>
      <c r="C42" s="42" t="n"/>
      <c r="D42" s="42" t="n"/>
      <c r="E42" s="42" t="n"/>
      <c r="F42" s="42" t="n"/>
      <c r="G42" s="42" t="n"/>
      <c r="H42" s="43">
        <f>IF($A$42="","",ROUND(0.35*VLOOKUP($A$42,topic_clusters!$A$5:$J$104,7,FALSE)+0.25*VLOOKUP($A$42,topic_clusters!$A$5:$J$104,8,FALSE)+0.2*VLOOKUP($A$42,topic_clusters!$A$5:$J$104,9,FALSE)+0.1*VLOOKUP($A$42,topic_clusters!$A$5:$J$104,10,FALSE)-10*IF(ISNUMBER(SEARCH("High",$G$42)),1,IF(ISNUMBER(SEARCH("Medium",$G$42)),0.5,0)),0))</f>
        <v/>
      </c>
      <c r="I42" s="54" t="n"/>
      <c r="J42" s="54" t="n"/>
      <c r="K42" s="54" t="n"/>
      <c r="L42" s="54" t="n"/>
      <c r="M42" s="54" t="n"/>
      <c r="N42" s="54" t="n"/>
      <c r="O42" s="54" t="n"/>
      <c r="P42" s="54" t="n"/>
      <c r="Q42" s="54" t="n"/>
    </row>
    <row r="43">
      <c r="A43" s="41" t="n"/>
      <c r="B43" s="42" t="n"/>
      <c r="C43" s="42" t="n"/>
      <c r="D43" s="42" t="n"/>
      <c r="E43" s="42" t="n"/>
      <c r="F43" s="42" t="n"/>
      <c r="G43" s="42" t="n"/>
      <c r="H43" s="43">
        <f>IF($A$43="","",ROUND(0.35*VLOOKUP($A$43,topic_clusters!$A$5:$J$104,7,FALSE)+0.25*VLOOKUP($A$43,topic_clusters!$A$5:$J$104,8,FALSE)+0.2*VLOOKUP($A$43,topic_clusters!$A$5:$J$104,9,FALSE)+0.1*VLOOKUP($A$43,topic_clusters!$A$5:$J$104,10,FALSE)-10*IF(ISNUMBER(SEARCH("High",$G$43)),1,IF(ISNUMBER(SEARCH("Medium",$G$43)),0.5,0)),0))</f>
        <v/>
      </c>
      <c r="I43" s="54" t="n"/>
      <c r="J43" s="54" t="n"/>
      <c r="K43" s="54" t="n"/>
      <c r="L43" s="54" t="n"/>
      <c r="M43" s="54" t="n"/>
      <c r="N43" s="54" t="n"/>
      <c r="O43" s="54" t="n"/>
      <c r="P43" s="54" t="n"/>
      <c r="Q43" s="54" t="n"/>
    </row>
    <row r="44">
      <c r="A44" s="41" t="n"/>
      <c r="B44" s="42" t="n"/>
      <c r="C44" s="42" t="n"/>
      <c r="D44" s="42" t="n"/>
      <c r="E44" s="42" t="n"/>
      <c r="F44" s="42" t="n"/>
      <c r="G44" s="42" t="n"/>
      <c r="H44" s="43">
        <f>IF($A$44="","",ROUND(0.35*VLOOKUP($A$44,topic_clusters!$A$5:$J$104,7,FALSE)+0.25*VLOOKUP($A$44,topic_clusters!$A$5:$J$104,8,FALSE)+0.2*VLOOKUP($A$44,topic_clusters!$A$5:$J$104,9,FALSE)+0.1*VLOOKUP($A$44,topic_clusters!$A$5:$J$104,10,FALSE)-10*IF(ISNUMBER(SEARCH("High",$G$44)),1,IF(ISNUMBER(SEARCH("Medium",$G$44)),0.5,0)),0))</f>
        <v/>
      </c>
      <c r="I44" s="54" t="n"/>
      <c r="J44" s="54" t="n"/>
      <c r="K44" s="54" t="n"/>
      <c r="L44" s="54" t="n"/>
      <c r="M44" s="54" t="n"/>
      <c r="N44" s="54" t="n"/>
      <c r="O44" s="54" t="n"/>
      <c r="P44" s="54" t="n"/>
      <c r="Q44" s="54" t="n"/>
    </row>
    <row r="45">
      <c r="A45" s="41" t="n"/>
      <c r="B45" s="42" t="n"/>
      <c r="C45" s="42" t="n"/>
      <c r="D45" s="42" t="n"/>
      <c r="E45" s="42" t="n"/>
      <c r="F45" s="42" t="n"/>
      <c r="G45" s="42" t="n"/>
      <c r="H45" s="43">
        <f>IF($A$45="","",ROUND(0.35*VLOOKUP($A$45,topic_clusters!$A$5:$J$104,7,FALSE)+0.25*VLOOKUP($A$45,topic_clusters!$A$5:$J$104,8,FALSE)+0.2*VLOOKUP($A$45,topic_clusters!$A$5:$J$104,9,FALSE)+0.1*VLOOKUP($A$45,topic_clusters!$A$5:$J$104,10,FALSE)-10*IF(ISNUMBER(SEARCH("High",$G$45)),1,IF(ISNUMBER(SEARCH("Medium",$G$45)),0.5,0)),0))</f>
        <v/>
      </c>
      <c r="I45" s="54" t="n"/>
      <c r="J45" s="54" t="n"/>
      <c r="K45" s="54" t="n"/>
      <c r="L45" s="54" t="n"/>
      <c r="M45" s="54" t="n"/>
      <c r="N45" s="54" t="n"/>
      <c r="O45" s="54" t="n"/>
      <c r="P45" s="54" t="n"/>
      <c r="Q45" s="54" t="n"/>
    </row>
    <row r="46">
      <c r="A46" s="41" t="n"/>
      <c r="B46" s="42" t="n"/>
      <c r="C46" s="42" t="n"/>
      <c r="D46" s="42" t="n"/>
      <c r="E46" s="42" t="n"/>
      <c r="F46" s="42" t="n"/>
      <c r="G46" s="42" t="n"/>
      <c r="H46" s="43">
        <f>IF($A$46="","",ROUND(0.35*VLOOKUP($A$46,topic_clusters!$A$5:$J$104,7,FALSE)+0.25*VLOOKUP($A$46,topic_clusters!$A$5:$J$104,8,FALSE)+0.2*VLOOKUP($A$46,topic_clusters!$A$5:$J$104,9,FALSE)+0.1*VLOOKUP($A$46,topic_clusters!$A$5:$J$104,10,FALSE)-10*IF(ISNUMBER(SEARCH("High",$G$46)),1,IF(ISNUMBER(SEARCH("Medium",$G$46)),0.5,0)),0))</f>
        <v/>
      </c>
      <c r="I46" s="54" t="n"/>
      <c r="J46" s="54" t="n"/>
      <c r="K46" s="54" t="n"/>
      <c r="L46" s="54" t="n"/>
      <c r="M46" s="54" t="n"/>
      <c r="N46" s="54" t="n"/>
      <c r="O46" s="54" t="n"/>
      <c r="P46" s="54" t="n"/>
      <c r="Q46" s="54" t="n"/>
    </row>
    <row r="47">
      <c r="A47" s="41" t="n"/>
      <c r="B47" s="42" t="n"/>
      <c r="C47" s="42" t="n"/>
      <c r="D47" s="42" t="n"/>
      <c r="E47" s="42" t="n"/>
      <c r="F47" s="42" t="n"/>
      <c r="G47" s="42" t="n"/>
      <c r="H47" s="43">
        <f>IF($A$47="","",ROUND(0.35*VLOOKUP($A$47,topic_clusters!$A$5:$J$104,7,FALSE)+0.25*VLOOKUP($A$47,topic_clusters!$A$5:$J$104,8,FALSE)+0.2*VLOOKUP($A$47,topic_clusters!$A$5:$J$104,9,FALSE)+0.1*VLOOKUP($A$47,topic_clusters!$A$5:$J$104,10,FALSE)-10*IF(ISNUMBER(SEARCH("High",$G$47)),1,IF(ISNUMBER(SEARCH("Medium",$G$47)),0.5,0)),0))</f>
        <v/>
      </c>
      <c r="I47" s="54" t="n"/>
      <c r="J47" s="54" t="n"/>
      <c r="K47" s="54" t="n"/>
      <c r="L47" s="54" t="n"/>
      <c r="M47" s="54" t="n"/>
      <c r="N47" s="54" t="n"/>
      <c r="O47" s="54" t="n"/>
      <c r="P47" s="54" t="n"/>
      <c r="Q47" s="54" t="n"/>
    </row>
    <row r="48">
      <c r="A48" s="41" t="n"/>
      <c r="B48" s="42" t="n"/>
      <c r="C48" s="42" t="n"/>
      <c r="D48" s="42" t="n"/>
      <c r="E48" s="42" t="n"/>
      <c r="F48" s="42" t="n"/>
      <c r="G48" s="42" t="n"/>
      <c r="H48" s="43">
        <f>IF($A$48="","",ROUND(0.35*VLOOKUP($A$48,topic_clusters!$A$5:$J$104,7,FALSE)+0.25*VLOOKUP($A$48,topic_clusters!$A$5:$J$104,8,FALSE)+0.2*VLOOKUP($A$48,topic_clusters!$A$5:$J$104,9,FALSE)+0.1*VLOOKUP($A$48,topic_clusters!$A$5:$J$104,10,FALSE)-10*IF(ISNUMBER(SEARCH("High",$G$48)),1,IF(ISNUMBER(SEARCH("Medium",$G$48)),0.5,0)),0))</f>
        <v/>
      </c>
      <c r="I48" s="54" t="n"/>
      <c r="J48" s="54" t="n"/>
      <c r="K48" s="54" t="n"/>
      <c r="L48" s="54" t="n"/>
      <c r="M48" s="54" t="n"/>
      <c r="N48" s="54" t="n"/>
      <c r="O48" s="54" t="n"/>
      <c r="P48" s="54" t="n"/>
      <c r="Q48" s="54" t="n"/>
    </row>
    <row r="49">
      <c r="A49" s="41" t="n"/>
      <c r="B49" s="42" t="n"/>
      <c r="C49" s="42" t="n"/>
      <c r="D49" s="42" t="n"/>
      <c r="E49" s="42" t="n"/>
      <c r="F49" s="42" t="n"/>
      <c r="G49" s="42" t="n"/>
      <c r="H49" s="43">
        <f>IF($A$49="","",ROUND(0.35*VLOOKUP($A$49,topic_clusters!$A$5:$J$104,7,FALSE)+0.25*VLOOKUP($A$49,topic_clusters!$A$5:$J$104,8,FALSE)+0.2*VLOOKUP($A$49,topic_clusters!$A$5:$J$104,9,FALSE)+0.1*VLOOKUP($A$49,topic_clusters!$A$5:$J$104,10,FALSE)-10*IF(ISNUMBER(SEARCH("High",$G$49)),1,IF(ISNUMBER(SEARCH("Medium",$G$49)),0.5,0)),0))</f>
        <v/>
      </c>
      <c r="I49" s="54" t="n"/>
      <c r="J49" s="54" t="n"/>
      <c r="K49" s="54" t="n"/>
      <c r="L49" s="54" t="n"/>
      <c r="M49" s="54" t="n"/>
      <c r="N49" s="54" t="n"/>
      <c r="O49" s="54" t="n"/>
      <c r="P49" s="54" t="n"/>
      <c r="Q49" s="54" t="n"/>
    </row>
    <row r="50">
      <c r="A50" s="41" t="n"/>
      <c r="B50" s="42" t="n"/>
      <c r="C50" s="42" t="n"/>
      <c r="D50" s="42" t="n"/>
      <c r="E50" s="42" t="n"/>
      <c r="F50" s="42" t="n"/>
      <c r="G50" s="42" t="n"/>
      <c r="H50" s="43">
        <f>IF($A$50="","",ROUND(0.35*VLOOKUP($A$50,topic_clusters!$A$5:$J$104,7,FALSE)+0.25*VLOOKUP($A$50,topic_clusters!$A$5:$J$104,8,FALSE)+0.2*VLOOKUP($A$50,topic_clusters!$A$5:$J$104,9,FALSE)+0.1*VLOOKUP($A$50,topic_clusters!$A$5:$J$104,10,FALSE)-10*IF(ISNUMBER(SEARCH("High",$G$50)),1,IF(ISNUMBER(SEARCH("Medium",$G$50)),0.5,0)),0))</f>
        <v/>
      </c>
      <c r="I50" s="54" t="n"/>
      <c r="J50" s="54" t="n"/>
      <c r="K50" s="54" t="n"/>
      <c r="L50" s="54" t="n"/>
      <c r="M50" s="54" t="n"/>
      <c r="N50" s="54" t="n"/>
      <c r="O50" s="54" t="n"/>
      <c r="P50" s="54" t="n"/>
      <c r="Q50" s="54" t="n"/>
    </row>
    <row r="51">
      <c r="A51" s="41" t="n"/>
      <c r="B51" s="42" t="n"/>
      <c r="C51" s="42" t="n"/>
      <c r="D51" s="42" t="n"/>
      <c r="E51" s="42" t="n"/>
      <c r="F51" s="42" t="n"/>
      <c r="G51" s="42" t="n"/>
      <c r="H51" s="43">
        <f>IF($A$51="","",ROUND(0.35*VLOOKUP($A$51,topic_clusters!$A$5:$J$104,7,FALSE)+0.25*VLOOKUP($A$51,topic_clusters!$A$5:$J$104,8,FALSE)+0.2*VLOOKUP($A$51,topic_clusters!$A$5:$J$104,9,FALSE)+0.1*VLOOKUP($A$51,topic_clusters!$A$5:$J$104,10,FALSE)-10*IF(ISNUMBER(SEARCH("High",$G$51)),1,IF(ISNUMBER(SEARCH("Medium",$G$51)),0.5,0)),0))</f>
        <v/>
      </c>
      <c r="I51" s="54" t="n"/>
      <c r="J51" s="54" t="n"/>
      <c r="K51" s="54" t="n"/>
      <c r="L51" s="54" t="n"/>
      <c r="M51" s="54" t="n"/>
      <c r="N51" s="54" t="n"/>
      <c r="O51" s="54" t="n"/>
      <c r="P51" s="54" t="n"/>
      <c r="Q51" s="54" t="n"/>
    </row>
    <row r="52">
      <c r="A52" s="41" t="n"/>
      <c r="B52" s="42" t="n"/>
      <c r="C52" s="42" t="n"/>
      <c r="D52" s="42" t="n"/>
      <c r="E52" s="42" t="n"/>
      <c r="F52" s="42" t="n"/>
      <c r="G52" s="42" t="n"/>
      <c r="H52" s="43">
        <f>IF($A$52="","",ROUND(0.35*VLOOKUP($A$52,topic_clusters!$A$5:$J$104,7,FALSE)+0.25*VLOOKUP($A$52,topic_clusters!$A$5:$J$104,8,FALSE)+0.2*VLOOKUP($A$52,topic_clusters!$A$5:$J$104,9,FALSE)+0.1*VLOOKUP($A$52,topic_clusters!$A$5:$J$104,10,FALSE)-10*IF(ISNUMBER(SEARCH("High",$G$52)),1,IF(ISNUMBER(SEARCH("Medium",$G$52)),0.5,0)),0))</f>
        <v/>
      </c>
      <c r="I52" s="54" t="n"/>
      <c r="J52" s="54" t="n"/>
      <c r="K52" s="54" t="n"/>
      <c r="L52" s="54" t="n"/>
      <c r="M52" s="54" t="n"/>
      <c r="N52" s="54" t="n"/>
      <c r="O52" s="54" t="n"/>
      <c r="P52" s="54" t="n"/>
      <c r="Q52" s="54" t="n"/>
    </row>
    <row r="53">
      <c r="A53" s="41" t="n"/>
      <c r="B53" s="42" t="n"/>
      <c r="C53" s="42" t="n"/>
      <c r="D53" s="42" t="n"/>
      <c r="E53" s="42" t="n"/>
      <c r="F53" s="42" t="n"/>
      <c r="G53" s="42" t="n"/>
      <c r="H53" s="43">
        <f>IF($A$53="","",ROUND(0.35*VLOOKUP($A$53,topic_clusters!$A$5:$J$104,7,FALSE)+0.25*VLOOKUP($A$53,topic_clusters!$A$5:$J$104,8,FALSE)+0.2*VLOOKUP($A$53,topic_clusters!$A$5:$J$104,9,FALSE)+0.1*VLOOKUP($A$53,topic_clusters!$A$5:$J$104,10,FALSE)-10*IF(ISNUMBER(SEARCH("High",$G$53)),1,IF(ISNUMBER(SEARCH("Medium",$G$53)),0.5,0)),0))</f>
        <v/>
      </c>
      <c r="I53" s="54" t="n"/>
      <c r="J53" s="54" t="n"/>
      <c r="K53" s="54" t="n"/>
      <c r="L53" s="54" t="n"/>
      <c r="M53" s="54" t="n"/>
      <c r="N53" s="54" t="n"/>
      <c r="O53" s="54" t="n"/>
      <c r="P53" s="54" t="n"/>
      <c r="Q53" s="54" t="n"/>
    </row>
    <row r="54">
      <c r="A54" s="41" t="n"/>
      <c r="B54" s="42" t="n"/>
      <c r="C54" s="42" t="n"/>
      <c r="D54" s="42" t="n"/>
      <c r="E54" s="42" t="n"/>
      <c r="F54" s="42" t="n"/>
      <c r="G54" s="42" t="n"/>
      <c r="H54" s="43">
        <f>IF($A$54="","",ROUND(0.35*VLOOKUP($A$54,topic_clusters!$A$5:$J$104,7,FALSE)+0.25*VLOOKUP($A$54,topic_clusters!$A$5:$J$104,8,FALSE)+0.2*VLOOKUP($A$54,topic_clusters!$A$5:$J$104,9,FALSE)+0.1*VLOOKUP($A$54,topic_clusters!$A$5:$J$104,10,FALSE)-10*IF(ISNUMBER(SEARCH("High",$G$54)),1,IF(ISNUMBER(SEARCH("Medium",$G$54)),0.5,0)),0))</f>
        <v/>
      </c>
      <c r="I54" s="54" t="n"/>
      <c r="J54" s="54" t="n"/>
      <c r="K54" s="54" t="n"/>
      <c r="L54" s="54" t="n"/>
      <c r="M54" s="54" t="n"/>
      <c r="N54" s="54" t="n"/>
      <c r="O54" s="54" t="n"/>
      <c r="P54" s="54" t="n"/>
      <c r="Q54" s="54" t="n"/>
    </row>
    <row r="55">
      <c r="A55" s="41" t="n"/>
      <c r="B55" s="42" t="n"/>
      <c r="C55" s="42" t="n"/>
      <c r="D55" s="42" t="n"/>
      <c r="E55" s="42" t="n"/>
      <c r="F55" s="42" t="n"/>
      <c r="G55" s="42" t="n"/>
      <c r="H55" s="43">
        <f>IF($A$55="","",ROUND(0.35*VLOOKUP($A$55,topic_clusters!$A$5:$J$104,7,FALSE)+0.25*VLOOKUP($A$55,topic_clusters!$A$5:$J$104,8,FALSE)+0.2*VLOOKUP($A$55,topic_clusters!$A$5:$J$104,9,FALSE)+0.1*VLOOKUP($A$55,topic_clusters!$A$5:$J$104,10,FALSE)-10*IF(ISNUMBER(SEARCH("High",$G$55)),1,IF(ISNUMBER(SEARCH("Medium",$G$55)),0.5,0)),0))</f>
        <v/>
      </c>
      <c r="I55" s="54" t="n"/>
      <c r="J55" s="54" t="n"/>
      <c r="K55" s="54" t="n"/>
      <c r="L55" s="54" t="n"/>
      <c r="M55" s="54" t="n"/>
      <c r="N55" s="54" t="n"/>
      <c r="O55" s="54" t="n"/>
      <c r="P55" s="54" t="n"/>
      <c r="Q55" s="54" t="n"/>
    </row>
    <row r="56">
      <c r="A56" s="41" t="n"/>
      <c r="B56" s="42" t="n"/>
      <c r="C56" s="42" t="n"/>
      <c r="D56" s="42" t="n"/>
      <c r="E56" s="42" t="n"/>
      <c r="F56" s="42" t="n"/>
      <c r="G56" s="42" t="n"/>
      <c r="H56" s="43">
        <f>IF($A$56="","",ROUND(0.35*VLOOKUP($A$56,topic_clusters!$A$5:$J$104,7,FALSE)+0.25*VLOOKUP($A$56,topic_clusters!$A$5:$J$104,8,FALSE)+0.2*VLOOKUP($A$56,topic_clusters!$A$5:$J$104,9,FALSE)+0.1*VLOOKUP($A$56,topic_clusters!$A$5:$J$104,10,FALSE)-10*IF(ISNUMBER(SEARCH("High",$G$56)),1,IF(ISNUMBER(SEARCH("Medium",$G$56)),0.5,0)),0))</f>
        <v/>
      </c>
      <c r="I56" s="54" t="n"/>
      <c r="J56" s="54" t="n"/>
      <c r="K56" s="54" t="n"/>
      <c r="L56" s="54" t="n"/>
      <c r="M56" s="54" t="n"/>
      <c r="N56" s="54" t="n"/>
      <c r="O56" s="54" t="n"/>
      <c r="P56" s="54" t="n"/>
      <c r="Q56" s="54" t="n"/>
    </row>
    <row r="57">
      <c r="A57" s="41" t="n"/>
      <c r="B57" s="42" t="n"/>
      <c r="C57" s="42" t="n"/>
      <c r="D57" s="42" t="n"/>
      <c r="E57" s="42" t="n"/>
      <c r="F57" s="42" t="n"/>
      <c r="G57" s="42" t="n"/>
      <c r="H57" s="43">
        <f>IF($A$57="","",ROUND(0.35*VLOOKUP($A$57,topic_clusters!$A$5:$J$104,7,FALSE)+0.25*VLOOKUP($A$57,topic_clusters!$A$5:$J$104,8,FALSE)+0.2*VLOOKUP($A$57,topic_clusters!$A$5:$J$104,9,FALSE)+0.1*VLOOKUP($A$57,topic_clusters!$A$5:$J$104,10,FALSE)-10*IF(ISNUMBER(SEARCH("High",$G$57)),1,IF(ISNUMBER(SEARCH("Medium",$G$57)),0.5,0)),0))</f>
        <v/>
      </c>
      <c r="I57" s="54" t="n"/>
      <c r="J57" s="54" t="n"/>
      <c r="K57" s="54" t="n"/>
      <c r="L57" s="54" t="n"/>
      <c r="M57" s="54" t="n"/>
      <c r="N57" s="54" t="n"/>
      <c r="O57" s="54" t="n"/>
      <c r="P57" s="54" t="n"/>
      <c r="Q57" s="54" t="n"/>
    </row>
    <row r="58">
      <c r="A58" s="41" t="n"/>
      <c r="B58" s="42" t="n"/>
      <c r="C58" s="42" t="n"/>
      <c r="D58" s="42" t="n"/>
      <c r="E58" s="42" t="n"/>
      <c r="F58" s="42" t="n"/>
      <c r="G58" s="42" t="n"/>
      <c r="H58" s="43">
        <f>IF($A$58="","",ROUND(0.35*VLOOKUP($A$58,topic_clusters!$A$5:$J$104,7,FALSE)+0.25*VLOOKUP($A$58,topic_clusters!$A$5:$J$104,8,FALSE)+0.2*VLOOKUP($A$58,topic_clusters!$A$5:$J$104,9,FALSE)+0.1*VLOOKUP($A$58,topic_clusters!$A$5:$J$104,10,FALSE)-10*IF(ISNUMBER(SEARCH("High",$G$58)),1,IF(ISNUMBER(SEARCH("Medium",$G$58)),0.5,0)),0))</f>
        <v/>
      </c>
      <c r="I58" s="54" t="n"/>
      <c r="J58" s="54" t="n"/>
      <c r="K58" s="54" t="n"/>
      <c r="L58" s="54" t="n"/>
      <c r="M58" s="54" t="n"/>
      <c r="N58" s="54" t="n"/>
      <c r="O58" s="54" t="n"/>
      <c r="P58" s="54" t="n"/>
      <c r="Q58" s="54" t="n"/>
    </row>
    <row r="59">
      <c r="A59" s="41" t="n"/>
      <c r="B59" s="42" t="n"/>
      <c r="C59" s="42" t="n"/>
      <c r="D59" s="42" t="n"/>
      <c r="E59" s="42" t="n"/>
      <c r="F59" s="42" t="n"/>
      <c r="G59" s="42" t="n"/>
      <c r="H59" s="43">
        <f>IF($A$59="","",ROUND(0.35*VLOOKUP($A$59,topic_clusters!$A$5:$J$104,7,FALSE)+0.25*VLOOKUP($A$59,topic_clusters!$A$5:$J$104,8,FALSE)+0.2*VLOOKUP($A$59,topic_clusters!$A$5:$J$104,9,FALSE)+0.1*VLOOKUP($A$59,topic_clusters!$A$5:$J$104,10,FALSE)-10*IF(ISNUMBER(SEARCH("High",$G$59)),1,IF(ISNUMBER(SEARCH("Medium",$G$59)),0.5,0)),0))</f>
        <v/>
      </c>
      <c r="I59" s="54" t="n"/>
      <c r="J59" s="54" t="n"/>
      <c r="K59" s="54" t="n"/>
      <c r="L59" s="54" t="n"/>
      <c r="M59" s="54" t="n"/>
      <c r="N59" s="54" t="n"/>
      <c r="O59" s="54" t="n"/>
      <c r="P59" s="54" t="n"/>
      <c r="Q59" s="54" t="n"/>
    </row>
    <row r="60">
      <c r="A60" s="41" t="n"/>
      <c r="B60" s="42" t="n"/>
      <c r="C60" s="42" t="n"/>
      <c r="D60" s="42" t="n"/>
      <c r="E60" s="42" t="n"/>
      <c r="F60" s="42" t="n"/>
      <c r="G60" s="42" t="n"/>
      <c r="H60" s="43">
        <f>IF($A$60="","",ROUND(0.35*VLOOKUP($A$60,topic_clusters!$A$5:$J$104,7,FALSE)+0.25*VLOOKUP($A$60,topic_clusters!$A$5:$J$104,8,FALSE)+0.2*VLOOKUP($A$60,topic_clusters!$A$5:$J$104,9,FALSE)+0.1*VLOOKUP($A$60,topic_clusters!$A$5:$J$104,10,FALSE)-10*IF(ISNUMBER(SEARCH("High",$G$60)),1,IF(ISNUMBER(SEARCH("Medium",$G$60)),0.5,0)),0))</f>
        <v/>
      </c>
      <c r="I60" s="54" t="n"/>
      <c r="J60" s="54" t="n"/>
      <c r="K60" s="54" t="n"/>
      <c r="L60" s="54" t="n"/>
      <c r="M60" s="54" t="n"/>
      <c r="N60" s="54" t="n"/>
      <c r="O60" s="54" t="n"/>
      <c r="P60" s="54" t="n"/>
      <c r="Q60" s="54" t="n"/>
    </row>
    <row r="61">
      <c r="A61" s="41" t="n"/>
      <c r="B61" s="42" t="n"/>
      <c r="C61" s="42" t="n"/>
      <c r="D61" s="42" t="n"/>
      <c r="E61" s="42" t="n"/>
      <c r="F61" s="42" t="n"/>
      <c r="G61" s="42" t="n"/>
      <c r="H61" s="43">
        <f>IF($A$61="","",ROUND(0.35*VLOOKUP($A$61,topic_clusters!$A$5:$J$104,7,FALSE)+0.25*VLOOKUP($A$61,topic_clusters!$A$5:$J$104,8,FALSE)+0.2*VLOOKUP($A$61,topic_clusters!$A$5:$J$104,9,FALSE)+0.1*VLOOKUP($A$61,topic_clusters!$A$5:$J$104,10,FALSE)-10*IF(ISNUMBER(SEARCH("High",$G$61)),1,IF(ISNUMBER(SEARCH("Medium",$G$61)),0.5,0)),0))</f>
        <v/>
      </c>
      <c r="I61" s="54" t="n"/>
      <c r="J61" s="54" t="n"/>
      <c r="K61" s="54" t="n"/>
      <c r="L61" s="54" t="n"/>
      <c r="M61" s="54" t="n"/>
      <c r="N61" s="54" t="n"/>
      <c r="O61" s="54" t="n"/>
      <c r="P61" s="54" t="n"/>
      <c r="Q61" s="54" t="n"/>
    </row>
    <row r="62">
      <c r="A62" s="41" t="n"/>
      <c r="B62" s="42" t="n"/>
      <c r="C62" s="42" t="n"/>
      <c r="D62" s="42" t="n"/>
      <c r="E62" s="42" t="n"/>
      <c r="F62" s="42" t="n"/>
      <c r="G62" s="42" t="n"/>
      <c r="H62" s="43">
        <f>IF($A$62="","",ROUND(0.35*VLOOKUP($A$62,topic_clusters!$A$5:$J$104,7,FALSE)+0.25*VLOOKUP($A$62,topic_clusters!$A$5:$J$104,8,FALSE)+0.2*VLOOKUP($A$62,topic_clusters!$A$5:$J$104,9,FALSE)+0.1*VLOOKUP($A$62,topic_clusters!$A$5:$J$104,10,FALSE)-10*IF(ISNUMBER(SEARCH("High",$G$62)),1,IF(ISNUMBER(SEARCH("Medium",$G$62)),0.5,0)),0))</f>
        <v/>
      </c>
      <c r="I62" s="54" t="n"/>
      <c r="J62" s="54" t="n"/>
      <c r="K62" s="54" t="n"/>
      <c r="L62" s="54" t="n"/>
      <c r="M62" s="54" t="n"/>
      <c r="N62" s="54" t="n"/>
      <c r="O62" s="54" t="n"/>
      <c r="P62" s="54" t="n"/>
      <c r="Q62" s="54" t="n"/>
    </row>
    <row r="63">
      <c r="A63" s="41" t="n"/>
      <c r="B63" s="42" t="n"/>
      <c r="C63" s="42" t="n"/>
      <c r="D63" s="42" t="n"/>
      <c r="E63" s="42" t="n"/>
      <c r="F63" s="42" t="n"/>
      <c r="G63" s="42" t="n"/>
      <c r="H63" s="43">
        <f>IF($A$63="","",ROUND(0.35*VLOOKUP($A$63,topic_clusters!$A$5:$J$104,7,FALSE)+0.25*VLOOKUP($A$63,topic_clusters!$A$5:$J$104,8,FALSE)+0.2*VLOOKUP($A$63,topic_clusters!$A$5:$J$104,9,FALSE)+0.1*VLOOKUP($A$63,topic_clusters!$A$5:$J$104,10,FALSE)-10*IF(ISNUMBER(SEARCH("High",$G$63)),1,IF(ISNUMBER(SEARCH("Medium",$G$63)),0.5,0)),0))</f>
        <v/>
      </c>
      <c r="I63" s="54" t="n"/>
      <c r="J63" s="54" t="n"/>
      <c r="K63" s="54" t="n"/>
      <c r="L63" s="54" t="n"/>
      <c r="M63" s="54" t="n"/>
      <c r="N63" s="54" t="n"/>
      <c r="O63" s="54" t="n"/>
      <c r="P63" s="54" t="n"/>
      <c r="Q63" s="54" t="n"/>
    </row>
    <row r="64">
      <c r="A64" s="41" t="n"/>
      <c r="B64" s="42" t="n"/>
      <c r="C64" s="42" t="n"/>
      <c r="D64" s="42" t="n"/>
      <c r="E64" s="42" t="n"/>
      <c r="F64" s="42" t="n"/>
      <c r="G64" s="42" t="n"/>
      <c r="H64" s="43">
        <f>IF($A$64="","",ROUND(0.35*VLOOKUP($A$64,topic_clusters!$A$5:$J$104,7,FALSE)+0.25*VLOOKUP($A$64,topic_clusters!$A$5:$J$104,8,FALSE)+0.2*VLOOKUP($A$64,topic_clusters!$A$5:$J$104,9,FALSE)+0.1*VLOOKUP($A$64,topic_clusters!$A$5:$J$104,10,FALSE)-10*IF(ISNUMBER(SEARCH("High",$G$64)),1,IF(ISNUMBER(SEARCH("Medium",$G$64)),0.5,0)),0))</f>
        <v/>
      </c>
      <c r="I64" s="54" t="n"/>
      <c r="J64" s="54" t="n"/>
      <c r="K64" s="54" t="n"/>
      <c r="L64" s="54" t="n"/>
      <c r="M64" s="54" t="n"/>
      <c r="N64" s="54" t="n"/>
      <c r="O64" s="54" t="n"/>
      <c r="P64" s="54" t="n"/>
      <c r="Q64" s="54" t="n"/>
    </row>
    <row r="65">
      <c r="A65" s="41" t="n"/>
      <c r="B65" s="42" t="n"/>
      <c r="C65" s="42" t="n"/>
      <c r="D65" s="42" t="n"/>
      <c r="E65" s="42" t="n"/>
      <c r="F65" s="42" t="n"/>
      <c r="G65" s="42" t="n"/>
      <c r="H65" s="43">
        <f>IF($A$65="","",ROUND(0.35*VLOOKUP($A$65,topic_clusters!$A$5:$J$104,7,FALSE)+0.25*VLOOKUP($A$65,topic_clusters!$A$5:$J$104,8,FALSE)+0.2*VLOOKUP($A$65,topic_clusters!$A$5:$J$104,9,FALSE)+0.1*VLOOKUP($A$65,topic_clusters!$A$5:$J$104,10,FALSE)-10*IF(ISNUMBER(SEARCH("High",$G$65)),1,IF(ISNUMBER(SEARCH("Medium",$G$65)),0.5,0)),0))</f>
        <v/>
      </c>
      <c r="I65" s="54" t="n"/>
      <c r="J65" s="54" t="n"/>
      <c r="K65" s="54" t="n"/>
      <c r="L65" s="54" t="n"/>
      <c r="M65" s="54" t="n"/>
      <c r="N65" s="54" t="n"/>
      <c r="O65" s="54" t="n"/>
      <c r="P65" s="54" t="n"/>
      <c r="Q65" s="54" t="n"/>
    </row>
    <row r="66">
      <c r="A66" s="41" t="n"/>
      <c r="B66" s="42" t="n"/>
      <c r="C66" s="42" t="n"/>
      <c r="D66" s="42" t="n"/>
      <c r="E66" s="42" t="n"/>
      <c r="F66" s="42" t="n"/>
      <c r="G66" s="42" t="n"/>
      <c r="H66" s="43">
        <f>IF($A$66="","",ROUND(0.35*VLOOKUP($A$66,topic_clusters!$A$5:$J$104,7,FALSE)+0.25*VLOOKUP($A$66,topic_clusters!$A$5:$J$104,8,FALSE)+0.2*VLOOKUP($A$66,topic_clusters!$A$5:$J$104,9,FALSE)+0.1*VLOOKUP($A$66,topic_clusters!$A$5:$J$104,10,FALSE)-10*IF(ISNUMBER(SEARCH("High",$G$66)),1,IF(ISNUMBER(SEARCH("Medium",$G$66)),0.5,0)),0))</f>
        <v/>
      </c>
      <c r="I66" s="54" t="n"/>
      <c r="J66" s="54" t="n"/>
      <c r="K66" s="54" t="n"/>
      <c r="L66" s="54" t="n"/>
      <c r="M66" s="54" t="n"/>
      <c r="N66" s="54" t="n"/>
      <c r="O66" s="54" t="n"/>
      <c r="P66" s="54" t="n"/>
      <c r="Q66" s="54" t="n"/>
    </row>
    <row r="67">
      <c r="A67" s="41" t="n"/>
      <c r="B67" s="42" t="n"/>
      <c r="C67" s="42" t="n"/>
      <c r="D67" s="42" t="n"/>
      <c r="E67" s="42" t="n"/>
      <c r="F67" s="42" t="n"/>
      <c r="G67" s="42" t="n"/>
      <c r="H67" s="43">
        <f>IF($A$67="","",ROUND(0.35*VLOOKUP($A$67,topic_clusters!$A$5:$J$104,7,FALSE)+0.25*VLOOKUP($A$67,topic_clusters!$A$5:$J$104,8,FALSE)+0.2*VLOOKUP($A$67,topic_clusters!$A$5:$J$104,9,FALSE)+0.1*VLOOKUP($A$67,topic_clusters!$A$5:$J$104,10,FALSE)-10*IF(ISNUMBER(SEARCH("High",$G$67)),1,IF(ISNUMBER(SEARCH("Medium",$G$67)),0.5,0)),0))</f>
        <v/>
      </c>
      <c r="I67" s="54" t="n"/>
      <c r="J67" s="54" t="n"/>
      <c r="K67" s="54" t="n"/>
      <c r="L67" s="54" t="n"/>
      <c r="M67" s="54" t="n"/>
      <c r="N67" s="54" t="n"/>
      <c r="O67" s="54" t="n"/>
      <c r="P67" s="54" t="n"/>
      <c r="Q67" s="54" t="n"/>
    </row>
    <row r="68">
      <c r="A68" s="41" t="n"/>
      <c r="B68" s="42" t="n"/>
      <c r="C68" s="42" t="n"/>
      <c r="D68" s="42" t="n"/>
      <c r="E68" s="42" t="n"/>
      <c r="F68" s="42" t="n"/>
      <c r="G68" s="42" t="n"/>
      <c r="H68" s="43">
        <f>IF($A$68="","",ROUND(0.35*VLOOKUP($A$68,topic_clusters!$A$5:$J$104,7,FALSE)+0.25*VLOOKUP($A$68,topic_clusters!$A$5:$J$104,8,FALSE)+0.2*VLOOKUP($A$68,topic_clusters!$A$5:$J$104,9,FALSE)+0.1*VLOOKUP($A$68,topic_clusters!$A$5:$J$104,10,FALSE)-10*IF(ISNUMBER(SEARCH("High",$G$68)),1,IF(ISNUMBER(SEARCH("Medium",$G$68)),0.5,0)),0))</f>
        <v/>
      </c>
      <c r="I68" s="54" t="n"/>
      <c r="J68" s="54" t="n"/>
      <c r="K68" s="54" t="n"/>
      <c r="L68" s="54" t="n"/>
      <c r="M68" s="54" t="n"/>
      <c r="N68" s="54" t="n"/>
      <c r="O68" s="54" t="n"/>
      <c r="P68" s="54" t="n"/>
      <c r="Q68" s="54" t="n"/>
    </row>
    <row r="69">
      <c r="A69" s="41" t="n"/>
      <c r="B69" s="42" t="n"/>
      <c r="C69" s="42" t="n"/>
      <c r="D69" s="42" t="n"/>
      <c r="E69" s="42" t="n"/>
      <c r="F69" s="42" t="n"/>
      <c r="G69" s="42" t="n"/>
      <c r="H69" s="43">
        <f>IF($A$69="","",ROUND(0.35*VLOOKUP($A$69,topic_clusters!$A$5:$J$104,7,FALSE)+0.25*VLOOKUP($A$69,topic_clusters!$A$5:$J$104,8,FALSE)+0.2*VLOOKUP($A$69,topic_clusters!$A$5:$J$104,9,FALSE)+0.1*VLOOKUP($A$69,topic_clusters!$A$5:$J$104,10,FALSE)-10*IF(ISNUMBER(SEARCH("High",$G$69)),1,IF(ISNUMBER(SEARCH("Medium",$G$69)),0.5,0)),0))</f>
        <v/>
      </c>
      <c r="I69" s="54" t="n"/>
      <c r="J69" s="54" t="n"/>
      <c r="K69" s="54" t="n"/>
      <c r="L69" s="54" t="n"/>
      <c r="M69" s="54" t="n"/>
      <c r="N69" s="54" t="n"/>
      <c r="O69" s="54" t="n"/>
      <c r="P69" s="54" t="n"/>
      <c r="Q69" s="54" t="n"/>
    </row>
    <row r="70">
      <c r="A70" s="41" t="n"/>
      <c r="B70" s="42" t="n"/>
      <c r="C70" s="42" t="n"/>
      <c r="D70" s="42" t="n"/>
      <c r="E70" s="42" t="n"/>
      <c r="F70" s="42" t="n"/>
      <c r="G70" s="42" t="n"/>
      <c r="H70" s="43">
        <f>IF($A$70="","",ROUND(0.35*VLOOKUP($A$70,topic_clusters!$A$5:$J$104,7,FALSE)+0.25*VLOOKUP($A$70,topic_clusters!$A$5:$J$104,8,FALSE)+0.2*VLOOKUP($A$70,topic_clusters!$A$5:$J$104,9,FALSE)+0.1*VLOOKUP($A$70,topic_clusters!$A$5:$J$104,10,FALSE)-10*IF(ISNUMBER(SEARCH("High",$G$70)),1,IF(ISNUMBER(SEARCH("Medium",$G$70)),0.5,0)),0))</f>
        <v/>
      </c>
      <c r="I70" s="54" t="n"/>
      <c r="J70" s="54" t="n"/>
      <c r="K70" s="54" t="n"/>
      <c r="L70" s="54" t="n"/>
      <c r="M70" s="54" t="n"/>
      <c r="N70" s="54" t="n"/>
      <c r="O70" s="54" t="n"/>
      <c r="P70" s="54" t="n"/>
      <c r="Q70" s="54" t="n"/>
    </row>
    <row r="71">
      <c r="A71" s="41" t="n"/>
      <c r="B71" s="42" t="n"/>
      <c r="C71" s="42" t="n"/>
      <c r="D71" s="42" t="n"/>
      <c r="E71" s="42" t="n"/>
      <c r="F71" s="42" t="n"/>
      <c r="G71" s="42" t="n"/>
      <c r="H71" s="43">
        <f>IF($A$71="","",ROUND(0.35*VLOOKUP($A$71,topic_clusters!$A$5:$J$104,7,FALSE)+0.25*VLOOKUP($A$71,topic_clusters!$A$5:$J$104,8,FALSE)+0.2*VLOOKUP($A$71,topic_clusters!$A$5:$J$104,9,FALSE)+0.1*VLOOKUP($A$71,topic_clusters!$A$5:$J$104,10,FALSE)-10*IF(ISNUMBER(SEARCH("High",$G$71)),1,IF(ISNUMBER(SEARCH("Medium",$G$71)),0.5,0)),0))</f>
        <v/>
      </c>
      <c r="I71" s="54" t="n"/>
      <c r="J71" s="54" t="n"/>
      <c r="K71" s="54" t="n"/>
      <c r="L71" s="54" t="n"/>
      <c r="M71" s="54" t="n"/>
      <c r="N71" s="54" t="n"/>
      <c r="O71" s="54" t="n"/>
      <c r="P71" s="54" t="n"/>
      <c r="Q71" s="54" t="n"/>
    </row>
    <row r="72">
      <c r="A72" s="41" t="n"/>
      <c r="B72" s="42" t="n"/>
      <c r="C72" s="42" t="n"/>
      <c r="D72" s="42" t="n"/>
      <c r="E72" s="42" t="n"/>
      <c r="F72" s="42" t="n"/>
      <c r="G72" s="42" t="n"/>
      <c r="H72" s="43">
        <f>IF($A$72="","",ROUND(0.35*VLOOKUP($A$72,topic_clusters!$A$5:$J$104,7,FALSE)+0.25*VLOOKUP($A$72,topic_clusters!$A$5:$J$104,8,FALSE)+0.2*VLOOKUP($A$72,topic_clusters!$A$5:$J$104,9,FALSE)+0.1*VLOOKUP($A$72,topic_clusters!$A$5:$J$104,10,FALSE)-10*IF(ISNUMBER(SEARCH("High",$G$72)),1,IF(ISNUMBER(SEARCH("Medium",$G$72)),0.5,0)),0))</f>
        <v/>
      </c>
      <c r="I72" s="54" t="n"/>
      <c r="J72" s="54" t="n"/>
      <c r="K72" s="54" t="n"/>
      <c r="L72" s="54" t="n"/>
      <c r="M72" s="54" t="n"/>
      <c r="N72" s="54" t="n"/>
      <c r="O72" s="54" t="n"/>
      <c r="P72" s="54" t="n"/>
      <c r="Q72" s="54" t="n"/>
    </row>
    <row r="73">
      <c r="A73" s="41" t="n"/>
      <c r="B73" s="42" t="n"/>
      <c r="C73" s="42" t="n"/>
      <c r="D73" s="42" t="n"/>
      <c r="E73" s="42" t="n"/>
      <c r="F73" s="42" t="n"/>
      <c r="G73" s="42" t="n"/>
      <c r="H73" s="43">
        <f>IF($A$73="","",ROUND(0.35*VLOOKUP($A$73,topic_clusters!$A$5:$J$104,7,FALSE)+0.25*VLOOKUP($A$73,topic_clusters!$A$5:$J$104,8,FALSE)+0.2*VLOOKUP($A$73,topic_clusters!$A$5:$J$104,9,FALSE)+0.1*VLOOKUP($A$73,topic_clusters!$A$5:$J$104,10,FALSE)-10*IF(ISNUMBER(SEARCH("High",$G$73)),1,IF(ISNUMBER(SEARCH("Medium",$G$73)),0.5,0)),0))</f>
        <v/>
      </c>
      <c r="I73" s="54" t="n"/>
      <c r="J73" s="54" t="n"/>
      <c r="K73" s="54" t="n"/>
      <c r="L73" s="54" t="n"/>
      <c r="M73" s="54" t="n"/>
      <c r="N73" s="54" t="n"/>
      <c r="O73" s="54" t="n"/>
      <c r="P73" s="54" t="n"/>
      <c r="Q73" s="54" t="n"/>
    </row>
    <row r="74">
      <c r="A74" s="41" t="n"/>
      <c r="B74" s="42" t="n"/>
      <c r="C74" s="42" t="n"/>
      <c r="D74" s="42" t="n"/>
      <c r="E74" s="42" t="n"/>
      <c r="F74" s="42" t="n"/>
      <c r="G74" s="42" t="n"/>
      <c r="H74" s="43">
        <f>IF($A$74="","",ROUND(0.35*VLOOKUP($A$74,topic_clusters!$A$5:$J$104,7,FALSE)+0.25*VLOOKUP($A$74,topic_clusters!$A$5:$J$104,8,FALSE)+0.2*VLOOKUP($A$74,topic_clusters!$A$5:$J$104,9,FALSE)+0.1*VLOOKUP($A$74,topic_clusters!$A$5:$J$104,10,FALSE)-10*IF(ISNUMBER(SEARCH("High",$G$74)),1,IF(ISNUMBER(SEARCH("Medium",$G$74)),0.5,0)),0))</f>
        <v/>
      </c>
      <c r="I74" s="54" t="n"/>
      <c r="J74" s="54" t="n"/>
      <c r="K74" s="54" t="n"/>
      <c r="L74" s="54" t="n"/>
      <c r="M74" s="54" t="n"/>
      <c r="N74" s="54" t="n"/>
      <c r="O74" s="54" t="n"/>
      <c r="P74" s="54" t="n"/>
      <c r="Q74" s="54" t="n"/>
    </row>
    <row r="75">
      <c r="A75" s="41" t="n"/>
      <c r="B75" s="42" t="n"/>
      <c r="C75" s="42" t="n"/>
      <c r="D75" s="42" t="n"/>
      <c r="E75" s="42" t="n"/>
      <c r="F75" s="42" t="n"/>
      <c r="G75" s="42" t="n"/>
      <c r="H75" s="43">
        <f>IF($A$75="","",ROUND(0.35*VLOOKUP($A$75,topic_clusters!$A$5:$J$104,7,FALSE)+0.25*VLOOKUP($A$75,topic_clusters!$A$5:$J$104,8,FALSE)+0.2*VLOOKUP($A$75,topic_clusters!$A$5:$J$104,9,FALSE)+0.1*VLOOKUP($A$75,topic_clusters!$A$5:$J$104,10,FALSE)-10*IF(ISNUMBER(SEARCH("High",$G$75)),1,IF(ISNUMBER(SEARCH("Medium",$G$75)),0.5,0)),0))</f>
        <v/>
      </c>
      <c r="I75" s="54" t="n"/>
      <c r="J75" s="54" t="n"/>
      <c r="K75" s="54" t="n"/>
      <c r="L75" s="54" t="n"/>
      <c r="M75" s="54" t="n"/>
      <c r="N75" s="54" t="n"/>
      <c r="O75" s="54" t="n"/>
      <c r="P75" s="54" t="n"/>
      <c r="Q75" s="54" t="n"/>
    </row>
    <row r="76">
      <c r="A76" s="41" t="n"/>
      <c r="B76" s="42" t="n"/>
      <c r="C76" s="42" t="n"/>
      <c r="D76" s="42" t="n"/>
      <c r="E76" s="42" t="n"/>
      <c r="F76" s="42" t="n"/>
      <c r="G76" s="42" t="n"/>
      <c r="H76" s="43">
        <f>IF($A$76="","",ROUND(0.35*VLOOKUP($A$76,topic_clusters!$A$5:$J$104,7,FALSE)+0.25*VLOOKUP($A$76,topic_clusters!$A$5:$J$104,8,FALSE)+0.2*VLOOKUP($A$76,topic_clusters!$A$5:$J$104,9,FALSE)+0.1*VLOOKUP($A$76,topic_clusters!$A$5:$J$104,10,FALSE)-10*IF(ISNUMBER(SEARCH("High",$G$76)),1,IF(ISNUMBER(SEARCH("Medium",$G$76)),0.5,0)),0))</f>
        <v/>
      </c>
      <c r="I76" s="54" t="n"/>
      <c r="J76" s="54" t="n"/>
      <c r="K76" s="54" t="n"/>
      <c r="L76" s="54" t="n"/>
      <c r="M76" s="54" t="n"/>
      <c r="N76" s="54" t="n"/>
      <c r="O76" s="54" t="n"/>
      <c r="P76" s="54" t="n"/>
      <c r="Q76" s="54" t="n"/>
    </row>
    <row r="77">
      <c r="A77" s="41" t="n"/>
      <c r="B77" s="42" t="n"/>
      <c r="C77" s="42" t="n"/>
      <c r="D77" s="42" t="n"/>
      <c r="E77" s="42" t="n"/>
      <c r="F77" s="42" t="n"/>
      <c r="G77" s="42" t="n"/>
      <c r="H77" s="43">
        <f>IF($A$77="","",ROUND(0.35*VLOOKUP($A$77,topic_clusters!$A$5:$J$104,7,FALSE)+0.25*VLOOKUP($A$77,topic_clusters!$A$5:$J$104,8,FALSE)+0.2*VLOOKUP($A$77,topic_clusters!$A$5:$J$104,9,FALSE)+0.1*VLOOKUP($A$77,topic_clusters!$A$5:$J$104,10,FALSE)-10*IF(ISNUMBER(SEARCH("High",$G$77)),1,IF(ISNUMBER(SEARCH("Medium",$G$77)),0.5,0)),0))</f>
        <v/>
      </c>
      <c r="I77" s="54" t="n"/>
      <c r="J77" s="54" t="n"/>
      <c r="K77" s="54" t="n"/>
      <c r="L77" s="54" t="n"/>
      <c r="M77" s="54" t="n"/>
      <c r="N77" s="54" t="n"/>
      <c r="O77" s="54" t="n"/>
      <c r="P77" s="54" t="n"/>
      <c r="Q77" s="54" t="n"/>
    </row>
    <row r="78">
      <c r="A78" s="41" t="n"/>
      <c r="B78" s="42" t="n"/>
      <c r="C78" s="42" t="n"/>
      <c r="D78" s="42" t="n"/>
      <c r="E78" s="42" t="n"/>
      <c r="F78" s="42" t="n"/>
      <c r="G78" s="42" t="n"/>
      <c r="H78" s="43">
        <f>IF($A$78="","",ROUND(0.35*VLOOKUP($A$78,topic_clusters!$A$5:$J$104,7,FALSE)+0.25*VLOOKUP($A$78,topic_clusters!$A$5:$J$104,8,FALSE)+0.2*VLOOKUP($A$78,topic_clusters!$A$5:$J$104,9,FALSE)+0.1*VLOOKUP($A$78,topic_clusters!$A$5:$J$104,10,FALSE)-10*IF(ISNUMBER(SEARCH("High",$G$78)),1,IF(ISNUMBER(SEARCH("Medium",$G$78)),0.5,0)),0))</f>
        <v/>
      </c>
      <c r="I78" s="54" t="n"/>
      <c r="J78" s="54" t="n"/>
      <c r="K78" s="54" t="n"/>
      <c r="L78" s="54" t="n"/>
      <c r="M78" s="54" t="n"/>
      <c r="N78" s="54" t="n"/>
      <c r="O78" s="54" t="n"/>
      <c r="P78" s="54" t="n"/>
      <c r="Q78" s="54" t="n"/>
    </row>
    <row r="79">
      <c r="A79" s="41" t="n"/>
      <c r="B79" s="42" t="n"/>
      <c r="C79" s="42" t="n"/>
      <c r="D79" s="42" t="n"/>
      <c r="E79" s="42" t="n"/>
      <c r="F79" s="42" t="n"/>
      <c r="G79" s="42" t="n"/>
      <c r="H79" s="43">
        <f>IF($A$79="","",ROUND(0.35*VLOOKUP($A$79,topic_clusters!$A$5:$J$104,7,FALSE)+0.25*VLOOKUP($A$79,topic_clusters!$A$5:$J$104,8,FALSE)+0.2*VLOOKUP($A$79,topic_clusters!$A$5:$J$104,9,FALSE)+0.1*VLOOKUP($A$79,topic_clusters!$A$5:$J$104,10,FALSE)-10*IF(ISNUMBER(SEARCH("High",$G$79)),1,IF(ISNUMBER(SEARCH("Medium",$G$79)),0.5,0)),0))</f>
        <v/>
      </c>
      <c r="I79" s="54" t="n"/>
      <c r="J79" s="54" t="n"/>
      <c r="K79" s="54" t="n"/>
      <c r="L79" s="54" t="n"/>
      <c r="M79" s="54" t="n"/>
      <c r="N79" s="54" t="n"/>
      <c r="O79" s="54" t="n"/>
      <c r="P79" s="54" t="n"/>
      <c r="Q79" s="54" t="n"/>
    </row>
    <row r="80">
      <c r="A80" s="41" t="n"/>
      <c r="B80" s="42" t="n"/>
      <c r="C80" s="42" t="n"/>
      <c r="D80" s="42" t="n"/>
      <c r="E80" s="42" t="n"/>
      <c r="F80" s="42" t="n"/>
      <c r="G80" s="42" t="n"/>
      <c r="H80" s="43">
        <f>IF($A$80="","",ROUND(0.35*VLOOKUP($A$80,topic_clusters!$A$5:$J$104,7,FALSE)+0.25*VLOOKUP($A$80,topic_clusters!$A$5:$J$104,8,FALSE)+0.2*VLOOKUP($A$80,topic_clusters!$A$5:$J$104,9,FALSE)+0.1*VLOOKUP($A$80,topic_clusters!$A$5:$J$104,10,FALSE)-10*IF(ISNUMBER(SEARCH("High",$G$80)),1,IF(ISNUMBER(SEARCH("Medium",$G$80)),0.5,0)),0))</f>
        <v/>
      </c>
      <c r="I80" s="54" t="n"/>
      <c r="J80" s="54" t="n"/>
      <c r="K80" s="54" t="n"/>
      <c r="L80" s="54" t="n"/>
      <c r="M80" s="54" t="n"/>
      <c r="N80" s="54" t="n"/>
      <c r="O80" s="54" t="n"/>
      <c r="P80" s="54" t="n"/>
      <c r="Q80" s="54" t="n"/>
    </row>
    <row r="81">
      <c r="A81" s="41" t="n"/>
      <c r="B81" s="42" t="n"/>
      <c r="C81" s="42" t="n"/>
      <c r="D81" s="42" t="n"/>
      <c r="E81" s="42" t="n"/>
      <c r="F81" s="42" t="n"/>
      <c r="G81" s="42" t="n"/>
      <c r="H81" s="43">
        <f>IF($A$81="","",ROUND(0.35*VLOOKUP($A$81,topic_clusters!$A$5:$J$104,7,FALSE)+0.25*VLOOKUP($A$81,topic_clusters!$A$5:$J$104,8,FALSE)+0.2*VLOOKUP($A$81,topic_clusters!$A$5:$J$104,9,FALSE)+0.1*VLOOKUP($A$81,topic_clusters!$A$5:$J$104,10,FALSE)-10*IF(ISNUMBER(SEARCH("High",$G$81)),1,IF(ISNUMBER(SEARCH("Medium",$G$81)),0.5,0)),0))</f>
        <v/>
      </c>
      <c r="I81" s="54" t="n"/>
      <c r="J81" s="54" t="n"/>
      <c r="K81" s="54" t="n"/>
      <c r="L81" s="54" t="n"/>
      <c r="M81" s="54" t="n"/>
      <c r="N81" s="54" t="n"/>
      <c r="O81" s="54" t="n"/>
      <c r="P81" s="54" t="n"/>
      <c r="Q81" s="54" t="n"/>
    </row>
    <row r="82">
      <c r="A82" s="41" t="n"/>
      <c r="B82" s="42" t="n"/>
      <c r="C82" s="42" t="n"/>
      <c r="D82" s="42" t="n"/>
      <c r="E82" s="42" t="n"/>
      <c r="F82" s="42" t="n"/>
      <c r="G82" s="42" t="n"/>
      <c r="H82" s="43">
        <f>IF($A$82="","",ROUND(0.35*VLOOKUP($A$82,topic_clusters!$A$5:$J$104,7,FALSE)+0.25*VLOOKUP($A$82,topic_clusters!$A$5:$J$104,8,FALSE)+0.2*VLOOKUP($A$82,topic_clusters!$A$5:$J$104,9,FALSE)+0.1*VLOOKUP($A$82,topic_clusters!$A$5:$J$104,10,FALSE)-10*IF(ISNUMBER(SEARCH("High",$G$82)),1,IF(ISNUMBER(SEARCH("Medium",$G$82)),0.5,0)),0))</f>
        <v/>
      </c>
      <c r="I82" s="54" t="n"/>
      <c r="J82" s="54" t="n"/>
      <c r="K82" s="54" t="n"/>
      <c r="L82" s="54" t="n"/>
      <c r="M82" s="54" t="n"/>
      <c r="N82" s="54" t="n"/>
      <c r="O82" s="54" t="n"/>
      <c r="P82" s="54" t="n"/>
      <c r="Q82" s="54" t="n"/>
    </row>
    <row r="83">
      <c r="A83" s="41" t="n"/>
      <c r="B83" s="42" t="n"/>
      <c r="C83" s="42" t="n"/>
      <c r="D83" s="42" t="n"/>
      <c r="E83" s="42" t="n"/>
      <c r="F83" s="42" t="n"/>
      <c r="G83" s="42" t="n"/>
      <c r="H83" s="43">
        <f>IF($A$83="","",ROUND(0.35*VLOOKUP($A$83,topic_clusters!$A$5:$J$104,7,FALSE)+0.25*VLOOKUP($A$83,topic_clusters!$A$5:$J$104,8,FALSE)+0.2*VLOOKUP($A$83,topic_clusters!$A$5:$J$104,9,FALSE)+0.1*VLOOKUP($A$83,topic_clusters!$A$5:$J$104,10,FALSE)-10*IF(ISNUMBER(SEARCH("High",$G$83)),1,IF(ISNUMBER(SEARCH("Medium",$G$83)),0.5,0)),0))</f>
        <v/>
      </c>
      <c r="I83" s="54" t="n"/>
      <c r="J83" s="54" t="n"/>
      <c r="K83" s="54" t="n"/>
      <c r="L83" s="54" t="n"/>
      <c r="M83" s="54" t="n"/>
      <c r="N83" s="54" t="n"/>
      <c r="O83" s="54" t="n"/>
      <c r="P83" s="54" t="n"/>
      <c r="Q83" s="54" t="n"/>
    </row>
    <row r="84">
      <c r="A84" s="41" t="n"/>
      <c r="B84" s="42" t="n"/>
      <c r="C84" s="42" t="n"/>
      <c r="D84" s="42" t="n"/>
      <c r="E84" s="42" t="n"/>
      <c r="F84" s="42" t="n"/>
      <c r="G84" s="42" t="n"/>
      <c r="H84" s="43">
        <f>IF($A$84="","",ROUND(0.35*VLOOKUP($A$84,topic_clusters!$A$5:$J$104,7,FALSE)+0.25*VLOOKUP($A$84,topic_clusters!$A$5:$J$104,8,FALSE)+0.2*VLOOKUP($A$84,topic_clusters!$A$5:$J$104,9,FALSE)+0.1*VLOOKUP($A$84,topic_clusters!$A$5:$J$104,10,FALSE)-10*IF(ISNUMBER(SEARCH("High",$G$84)),1,IF(ISNUMBER(SEARCH("Medium",$G$84)),0.5,0)),0))</f>
        <v/>
      </c>
      <c r="I84" s="54" t="n"/>
      <c r="J84" s="54" t="n"/>
      <c r="K84" s="54" t="n"/>
      <c r="L84" s="54" t="n"/>
      <c r="M84" s="54" t="n"/>
      <c r="N84" s="54" t="n"/>
      <c r="O84" s="54" t="n"/>
      <c r="P84" s="54" t="n"/>
      <c r="Q84" s="54" t="n"/>
    </row>
    <row r="85">
      <c r="A85" s="41" t="n"/>
      <c r="B85" s="42" t="n"/>
      <c r="C85" s="42" t="n"/>
      <c r="D85" s="42" t="n"/>
      <c r="E85" s="42" t="n"/>
      <c r="F85" s="42" t="n"/>
      <c r="G85" s="42" t="n"/>
      <c r="H85" s="43">
        <f>IF($A$85="","",ROUND(0.35*VLOOKUP($A$85,topic_clusters!$A$5:$J$104,7,FALSE)+0.25*VLOOKUP($A$85,topic_clusters!$A$5:$J$104,8,FALSE)+0.2*VLOOKUP($A$85,topic_clusters!$A$5:$J$104,9,FALSE)+0.1*VLOOKUP($A$85,topic_clusters!$A$5:$J$104,10,FALSE)-10*IF(ISNUMBER(SEARCH("High",$G$85)),1,IF(ISNUMBER(SEARCH("Medium",$G$85)),0.5,0)),0))</f>
        <v/>
      </c>
      <c r="I85" s="54" t="n"/>
      <c r="J85" s="54" t="n"/>
      <c r="K85" s="54" t="n"/>
      <c r="L85" s="54" t="n"/>
      <c r="M85" s="54" t="n"/>
      <c r="N85" s="54" t="n"/>
      <c r="O85" s="54" t="n"/>
      <c r="P85" s="54" t="n"/>
      <c r="Q85" s="54" t="n"/>
    </row>
    <row r="86">
      <c r="A86" s="41" t="n"/>
      <c r="B86" s="42" t="n"/>
      <c r="C86" s="42" t="n"/>
      <c r="D86" s="42" t="n"/>
      <c r="E86" s="42" t="n"/>
      <c r="F86" s="42" t="n"/>
      <c r="G86" s="42" t="n"/>
      <c r="H86" s="43">
        <f>IF($A$86="","",ROUND(0.35*VLOOKUP($A$86,topic_clusters!$A$5:$J$104,7,FALSE)+0.25*VLOOKUP($A$86,topic_clusters!$A$5:$J$104,8,FALSE)+0.2*VLOOKUP($A$86,topic_clusters!$A$5:$J$104,9,FALSE)+0.1*VLOOKUP($A$86,topic_clusters!$A$5:$J$104,10,FALSE)-10*IF(ISNUMBER(SEARCH("High",$G$86)),1,IF(ISNUMBER(SEARCH("Medium",$G$86)),0.5,0)),0))</f>
        <v/>
      </c>
      <c r="I86" s="54" t="n"/>
      <c r="J86" s="54" t="n"/>
      <c r="K86" s="54" t="n"/>
      <c r="L86" s="54" t="n"/>
      <c r="M86" s="54" t="n"/>
      <c r="N86" s="54" t="n"/>
      <c r="O86" s="54" t="n"/>
      <c r="P86" s="54" t="n"/>
      <c r="Q86" s="54" t="n"/>
    </row>
    <row r="87">
      <c r="A87" s="41" t="n"/>
      <c r="B87" s="42" t="n"/>
      <c r="C87" s="42" t="n"/>
      <c r="D87" s="42" t="n"/>
      <c r="E87" s="42" t="n"/>
      <c r="F87" s="42" t="n"/>
      <c r="G87" s="42" t="n"/>
      <c r="H87" s="43">
        <f>IF($A$87="","",ROUND(0.35*VLOOKUP($A$87,topic_clusters!$A$5:$J$104,7,FALSE)+0.25*VLOOKUP($A$87,topic_clusters!$A$5:$J$104,8,FALSE)+0.2*VLOOKUP($A$87,topic_clusters!$A$5:$J$104,9,FALSE)+0.1*VLOOKUP($A$87,topic_clusters!$A$5:$J$104,10,FALSE)-10*IF(ISNUMBER(SEARCH("High",$G$87)),1,IF(ISNUMBER(SEARCH("Medium",$G$87)),0.5,0)),0))</f>
        <v/>
      </c>
      <c r="I87" s="54" t="n"/>
      <c r="J87" s="54" t="n"/>
      <c r="K87" s="54" t="n"/>
      <c r="L87" s="54" t="n"/>
      <c r="M87" s="54" t="n"/>
      <c r="N87" s="54" t="n"/>
      <c r="O87" s="54" t="n"/>
      <c r="P87" s="54" t="n"/>
      <c r="Q87" s="54" t="n"/>
    </row>
    <row r="88">
      <c r="A88" s="41" t="n"/>
      <c r="B88" s="42" t="n"/>
      <c r="C88" s="42" t="n"/>
      <c r="D88" s="42" t="n"/>
      <c r="E88" s="42" t="n"/>
      <c r="F88" s="42" t="n"/>
      <c r="G88" s="42" t="n"/>
      <c r="H88" s="43">
        <f>IF($A$88="","",ROUND(0.35*VLOOKUP($A$88,topic_clusters!$A$5:$J$104,7,FALSE)+0.25*VLOOKUP($A$88,topic_clusters!$A$5:$J$104,8,FALSE)+0.2*VLOOKUP($A$88,topic_clusters!$A$5:$J$104,9,FALSE)+0.1*VLOOKUP($A$88,topic_clusters!$A$5:$J$104,10,FALSE)-10*IF(ISNUMBER(SEARCH("High",$G$88)),1,IF(ISNUMBER(SEARCH("Medium",$G$88)),0.5,0)),0))</f>
        <v/>
      </c>
      <c r="I88" s="54" t="n"/>
      <c r="J88" s="54" t="n"/>
      <c r="K88" s="54" t="n"/>
      <c r="L88" s="54" t="n"/>
      <c r="M88" s="54" t="n"/>
      <c r="N88" s="54" t="n"/>
      <c r="O88" s="54" t="n"/>
      <c r="P88" s="54" t="n"/>
      <c r="Q88" s="54" t="n"/>
    </row>
    <row r="89">
      <c r="A89" s="41" t="n"/>
      <c r="B89" s="42" t="n"/>
      <c r="C89" s="42" t="n"/>
      <c r="D89" s="42" t="n"/>
      <c r="E89" s="42" t="n"/>
      <c r="F89" s="42" t="n"/>
      <c r="G89" s="42" t="n"/>
      <c r="H89" s="43">
        <f>IF($A$89="","",ROUND(0.35*VLOOKUP($A$89,topic_clusters!$A$5:$J$104,7,FALSE)+0.25*VLOOKUP($A$89,topic_clusters!$A$5:$J$104,8,FALSE)+0.2*VLOOKUP($A$89,topic_clusters!$A$5:$J$104,9,FALSE)+0.1*VLOOKUP($A$89,topic_clusters!$A$5:$J$104,10,FALSE)-10*IF(ISNUMBER(SEARCH("High",$G$89)),1,IF(ISNUMBER(SEARCH("Medium",$G$89)),0.5,0)),0))</f>
        <v/>
      </c>
      <c r="I89" s="54" t="n"/>
      <c r="J89" s="54" t="n"/>
      <c r="K89" s="54" t="n"/>
      <c r="L89" s="54" t="n"/>
      <c r="M89" s="54" t="n"/>
      <c r="N89" s="54" t="n"/>
      <c r="O89" s="54" t="n"/>
      <c r="P89" s="54" t="n"/>
      <c r="Q89" s="54" t="n"/>
    </row>
    <row r="90">
      <c r="A90" s="41" t="n"/>
      <c r="B90" s="42" t="n"/>
      <c r="C90" s="42" t="n"/>
      <c r="D90" s="42" t="n"/>
      <c r="E90" s="42" t="n"/>
      <c r="F90" s="42" t="n"/>
      <c r="G90" s="42" t="n"/>
      <c r="H90" s="43">
        <f>IF($A$90="","",ROUND(0.35*VLOOKUP($A$90,topic_clusters!$A$5:$J$104,7,FALSE)+0.25*VLOOKUP($A$90,topic_clusters!$A$5:$J$104,8,FALSE)+0.2*VLOOKUP($A$90,topic_clusters!$A$5:$J$104,9,FALSE)+0.1*VLOOKUP($A$90,topic_clusters!$A$5:$J$104,10,FALSE)-10*IF(ISNUMBER(SEARCH("High",$G$90)),1,IF(ISNUMBER(SEARCH("Medium",$G$90)),0.5,0)),0))</f>
        <v/>
      </c>
      <c r="I90" s="54" t="n"/>
      <c r="J90" s="54" t="n"/>
      <c r="K90" s="54" t="n"/>
      <c r="L90" s="54" t="n"/>
      <c r="M90" s="54" t="n"/>
      <c r="N90" s="54" t="n"/>
      <c r="O90" s="54" t="n"/>
      <c r="P90" s="54" t="n"/>
      <c r="Q90" s="54" t="n"/>
    </row>
    <row r="91">
      <c r="A91" s="41" t="n"/>
      <c r="B91" s="42" t="n"/>
      <c r="C91" s="42" t="n"/>
      <c r="D91" s="42" t="n"/>
      <c r="E91" s="42" t="n"/>
      <c r="F91" s="42" t="n"/>
      <c r="G91" s="42" t="n"/>
      <c r="H91" s="43">
        <f>IF($A$91="","",ROUND(0.35*VLOOKUP($A$91,topic_clusters!$A$5:$J$104,7,FALSE)+0.25*VLOOKUP($A$91,topic_clusters!$A$5:$J$104,8,FALSE)+0.2*VLOOKUP($A$91,topic_clusters!$A$5:$J$104,9,FALSE)+0.1*VLOOKUP($A$91,topic_clusters!$A$5:$J$104,10,FALSE)-10*IF(ISNUMBER(SEARCH("High",$G$91)),1,IF(ISNUMBER(SEARCH("Medium",$G$91)),0.5,0)),0))</f>
        <v/>
      </c>
      <c r="I91" s="54" t="n"/>
      <c r="J91" s="54" t="n"/>
      <c r="K91" s="54" t="n"/>
      <c r="L91" s="54" t="n"/>
      <c r="M91" s="54" t="n"/>
      <c r="N91" s="54" t="n"/>
      <c r="O91" s="54" t="n"/>
      <c r="P91" s="54" t="n"/>
      <c r="Q91" s="54" t="n"/>
    </row>
    <row r="92">
      <c r="A92" s="41" t="n"/>
      <c r="B92" s="42" t="n"/>
      <c r="C92" s="42" t="n"/>
      <c r="D92" s="42" t="n"/>
      <c r="E92" s="42" t="n"/>
      <c r="F92" s="42" t="n"/>
      <c r="G92" s="42" t="n"/>
      <c r="H92" s="43">
        <f>IF($A$92="","",ROUND(0.35*VLOOKUP($A$92,topic_clusters!$A$5:$J$104,7,FALSE)+0.25*VLOOKUP($A$92,topic_clusters!$A$5:$J$104,8,FALSE)+0.2*VLOOKUP($A$92,topic_clusters!$A$5:$J$104,9,FALSE)+0.1*VLOOKUP($A$92,topic_clusters!$A$5:$J$104,10,FALSE)-10*IF(ISNUMBER(SEARCH("High",$G$92)),1,IF(ISNUMBER(SEARCH("Medium",$G$92)),0.5,0)),0))</f>
        <v/>
      </c>
      <c r="I92" s="54" t="n"/>
      <c r="J92" s="54" t="n"/>
      <c r="K92" s="54" t="n"/>
      <c r="L92" s="54" t="n"/>
      <c r="M92" s="54" t="n"/>
      <c r="N92" s="54" t="n"/>
      <c r="O92" s="54" t="n"/>
      <c r="P92" s="54" t="n"/>
      <c r="Q92" s="54" t="n"/>
    </row>
    <row r="93">
      <c r="A93" s="41" t="n"/>
      <c r="B93" s="42" t="n"/>
      <c r="C93" s="42" t="n"/>
      <c r="D93" s="42" t="n"/>
      <c r="E93" s="42" t="n"/>
      <c r="F93" s="42" t="n"/>
      <c r="G93" s="42" t="n"/>
      <c r="H93" s="43">
        <f>IF($A$93="","",ROUND(0.35*VLOOKUP($A$93,topic_clusters!$A$5:$J$104,7,FALSE)+0.25*VLOOKUP($A$93,topic_clusters!$A$5:$J$104,8,FALSE)+0.2*VLOOKUP($A$93,topic_clusters!$A$5:$J$104,9,FALSE)+0.1*VLOOKUP($A$93,topic_clusters!$A$5:$J$104,10,FALSE)-10*IF(ISNUMBER(SEARCH("High",$G$93)),1,IF(ISNUMBER(SEARCH("Medium",$G$93)),0.5,0)),0))</f>
        <v/>
      </c>
      <c r="I93" s="54" t="n"/>
      <c r="J93" s="54" t="n"/>
      <c r="K93" s="54" t="n"/>
      <c r="L93" s="54" t="n"/>
      <c r="M93" s="54" t="n"/>
      <c r="N93" s="54" t="n"/>
      <c r="O93" s="54" t="n"/>
      <c r="P93" s="54" t="n"/>
      <c r="Q93" s="54" t="n"/>
    </row>
    <row r="94">
      <c r="A94" s="41" t="n"/>
      <c r="B94" s="42" t="n"/>
      <c r="C94" s="42" t="n"/>
      <c r="D94" s="42" t="n"/>
      <c r="E94" s="42" t="n"/>
      <c r="F94" s="42" t="n"/>
      <c r="G94" s="42" t="n"/>
      <c r="H94" s="43">
        <f>IF($A$94="","",ROUND(0.35*VLOOKUP($A$94,topic_clusters!$A$5:$J$104,7,FALSE)+0.25*VLOOKUP($A$94,topic_clusters!$A$5:$J$104,8,FALSE)+0.2*VLOOKUP($A$94,topic_clusters!$A$5:$J$104,9,FALSE)+0.1*VLOOKUP($A$94,topic_clusters!$A$5:$J$104,10,FALSE)-10*IF(ISNUMBER(SEARCH("High",$G$94)),1,IF(ISNUMBER(SEARCH("Medium",$G$94)),0.5,0)),0))</f>
        <v/>
      </c>
      <c r="I94" s="54" t="n"/>
      <c r="J94" s="54" t="n"/>
      <c r="K94" s="54" t="n"/>
      <c r="L94" s="54" t="n"/>
      <c r="M94" s="54" t="n"/>
      <c r="N94" s="54" t="n"/>
      <c r="O94" s="54" t="n"/>
      <c r="P94" s="54" t="n"/>
      <c r="Q94" s="54" t="n"/>
    </row>
    <row r="95">
      <c r="A95" s="41" t="n"/>
      <c r="B95" s="42" t="n"/>
      <c r="C95" s="42" t="n"/>
      <c r="D95" s="42" t="n"/>
      <c r="E95" s="42" t="n"/>
      <c r="F95" s="42" t="n"/>
      <c r="G95" s="42" t="n"/>
      <c r="H95" s="43">
        <f>IF($A$95="","",ROUND(0.35*VLOOKUP($A$95,topic_clusters!$A$5:$J$104,7,FALSE)+0.25*VLOOKUP($A$95,topic_clusters!$A$5:$J$104,8,FALSE)+0.2*VLOOKUP($A$95,topic_clusters!$A$5:$J$104,9,FALSE)+0.1*VLOOKUP($A$95,topic_clusters!$A$5:$J$104,10,FALSE)-10*IF(ISNUMBER(SEARCH("High",$G$95)),1,IF(ISNUMBER(SEARCH("Medium",$G$95)),0.5,0)),0))</f>
        <v/>
      </c>
      <c r="I95" s="54" t="n"/>
      <c r="J95" s="54" t="n"/>
      <c r="K95" s="54" t="n"/>
      <c r="L95" s="54" t="n"/>
      <c r="M95" s="54" t="n"/>
      <c r="N95" s="54" t="n"/>
      <c r="O95" s="54" t="n"/>
      <c r="P95" s="54" t="n"/>
      <c r="Q95" s="54" t="n"/>
    </row>
    <row r="96">
      <c r="A96" s="41" t="n"/>
      <c r="B96" s="42" t="n"/>
      <c r="C96" s="42" t="n"/>
      <c r="D96" s="42" t="n"/>
      <c r="E96" s="42" t="n"/>
      <c r="F96" s="42" t="n"/>
      <c r="G96" s="42" t="n"/>
      <c r="H96" s="43">
        <f>IF($A$96="","",ROUND(0.35*VLOOKUP($A$96,topic_clusters!$A$5:$J$104,7,FALSE)+0.25*VLOOKUP($A$96,topic_clusters!$A$5:$J$104,8,FALSE)+0.2*VLOOKUP($A$96,topic_clusters!$A$5:$J$104,9,FALSE)+0.1*VLOOKUP($A$96,topic_clusters!$A$5:$J$104,10,FALSE)-10*IF(ISNUMBER(SEARCH("High",$G$96)),1,IF(ISNUMBER(SEARCH("Medium",$G$96)),0.5,0)),0))</f>
        <v/>
      </c>
      <c r="I96" s="54" t="n"/>
      <c r="J96" s="54" t="n"/>
      <c r="K96" s="54" t="n"/>
      <c r="L96" s="54" t="n"/>
      <c r="M96" s="54" t="n"/>
      <c r="N96" s="54" t="n"/>
      <c r="O96" s="54" t="n"/>
      <c r="P96" s="54" t="n"/>
      <c r="Q96" s="54" t="n"/>
    </row>
    <row r="97">
      <c r="A97" s="41" t="n"/>
      <c r="B97" s="42" t="n"/>
      <c r="C97" s="42" t="n"/>
      <c r="D97" s="42" t="n"/>
      <c r="E97" s="42" t="n"/>
      <c r="F97" s="42" t="n"/>
      <c r="G97" s="42" t="n"/>
      <c r="H97" s="43">
        <f>IF($A$97="","",ROUND(0.35*VLOOKUP($A$97,topic_clusters!$A$5:$J$104,7,FALSE)+0.25*VLOOKUP($A$97,topic_clusters!$A$5:$J$104,8,FALSE)+0.2*VLOOKUP($A$97,topic_clusters!$A$5:$J$104,9,FALSE)+0.1*VLOOKUP($A$97,topic_clusters!$A$5:$J$104,10,FALSE)-10*IF(ISNUMBER(SEARCH("High",$G$97)),1,IF(ISNUMBER(SEARCH("Medium",$G$97)),0.5,0)),0))</f>
        <v/>
      </c>
      <c r="I97" s="54" t="n"/>
      <c r="J97" s="54" t="n"/>
      <c r="K97" s="54" t="n"/>
      <c r="L97" s="54" t="n"/>
      <c r="M97" s="54" t="n"/>
      <c r="N97" s="54" t="n"/>
      <c r="O97" s="54" t="n"/>
      <c r="P97" s="54" t="n"/>
      <c r="Q97" s="54" t="n"/>
    </row>
    <row r="98">
      <c r="A98" s="41" t="n"/>
      <c r="B98" s="42" t="n"/>
      <c r="C98" s="42" t="n"/>
      <c r="D98" s="42" t="n"/>
      <c r="E98" s="42" t="n"/>
      <c r="F98" s="42" t="n"/>
      <c r="G98" s="42" t="n"/>
      <c r="H98" s="43">
        <f>IF($A$98="","",ROUND(0.35*VLOOKUP($A$98,topic_clusters!$A$5:$J$104,7,FALSE)+0.25*VLOOKUP($A$98,topic_clusters!$A$5:$J$104,8,FALSE)+0.2*VLOOKUP($A$98,topic_clusters!$A$5:$J$104,9,FALSE)+0.1*VLOOKUP($A$98,topic_clusters!$A$5:$J$104,10,FALSE)-10*IF(ISNUMBER(SEARCH("High",$G$98)),1,IF(ISNUMBER(SEARCH("Medium",$G$98)),0.5,0)),0))</f>
        <v/>
      </c>
      <c r="I98" s="54" t="n"/>
      <c r="J98" s="54" t="n"/>
      <c r="K98" s="54" t="n"/>
      <c r="L98" s="54" t="n"/>
      <c r="M98" s="54" t="n"/>
      <c r="N98" s="54" t="n"/>
      <c r="O98" s="54" t="n"/>
      <c r="P98" s="54" t="n"/>
      <c r="Q98" s="54" t="n"/>
    </row>
    <row r="99">
      <c r="A99" s="41" t="n"/>
      <c r="B99" s="42" t="n"/>
      <c r="C99" s="42" t="n"/>
      <c r="D99" s="42" t="n"/>
      <c r="E99" s="42" t="n"/>
      <c r="F99" s="42" t="n"/>
      <c r="G99" s="42" t="n"/>
      <c r="H99" s="43">
        <f>IF($A$99="","",ROUND(0.35*VLOOKUP($A$99,topic_clusters!$A$5:$J$104,7,FALSE)+0.25*VLOOKUP($A$99,topic_clusters!$A$5:$J$104,8,FALSE)+0.2*VLOOKUP($A$99,topic_clusters!$A$5:$J$104,9,FALSE)+0.1*VLOOKUP($A$99,topic_clusters!$A$5:$J$104,10,FALSE)-10*IF(ISNUMBER(SEARCH("High",$G$99)),1,IF(ISNUMBER(SEARCH("Medium",$G$99)),0.5,0)),0))</f>
        <v/>
      </c>
      <c r="I99" s="54" t="n"/>
      <c r="J99" s="54" t="n"/>
      <c r="K99" s="54" t="n"/>
      <c r="L99" s="54" t="n"/>
      <c r="M99" s="54" t="n"/>
      <c r="N99" s="54" t="n"/>
      <c r="O99" s="54" t="n"/>
      <c r="P99" s="54" t="n"/>
      <c r="Q99" s="54" t="n"/>
    </row>
    <row r="100">
      <c r="A100" s="41" t="n"/>
      <c r="B100" s="42" t="n"/>
      <c r="C100" s="42" t="n"/>
      <c r="D100" s="42" t="n"/>
      <c r="E100" s="42" t="n"/>
      <c r="F100" s="42" t="n"/>
      <c r="G100" s="42" t="n"/>
      <c r="H100" s="43">
        <f>IF($A$100="","",ROUND(0.35*VLOOKUP($A$100,topic_clusters!$A$5:$J$104,7,FALSE)+0.25*VLOOKUP($A$100,topic_clusters!$A$5:$J$104,8,FALSE)+0.2*VLOOKUP($A$100,topic_clusters!$A$5:$J$104,9,FALSE)+0.1*VLOOKUP($A$100,topic_clusters!$A$5:$J$104,10,FALSE)-10*IF(ISNUMBER(SEARCH("High",$G$100)),1,IF(ISNUMBER(SEARCH("Medium",$G$100)),0.5,0)),0))</f>
        <v/>
      </c>
      <c r="I100" s="54" t="n"/>
      <c r="J100" s="54" t="n"/>
      <c r="K100" s="54" t="n"/>
      <c r="L100" s="54" t="n"/>
      <c r="M100" s="54" t="n"/>
      <c r="N100" s="54" t="n"/>
      <c r="O100" s="54" t="n"/>
      <c r="P100" s="54" t="n"/>
      <c r="Q100" s="54" t="n"/>
    </row>
    <row r="101">
      <c r="A101" s="41" t="n"/>
      <c r="B101" s="42" t="n"/>
      <c r="C101" s="42" t="n"/>
      <c r="D101" s="42" t="n"/>
      <c r="E101" s="42" t="n"/>
      <c r="F101" s="42" t="n"/>
      <c r="G101" s="42" t="n"/>
      <c r="H101" s="43">
        <f>IF($A$101="","",ROUND(0.35*VLOOKUP($A$101,topic_clusters!$A$5:$J$104,7,FALSE)+0.25*VLOOKUP($A$101,topic_clusters!$A$5:$J$104,8,FALSE)+0.2*VLOOKUP($A$101,topic_clusters!$A$5:$J$104,9,FALSE)+0.1*VLOOKUP($A$101,topic_clusters!$A$5:$J$104,10,FALSE)-10*IF(ISNUMBER(SEARCH("High",$G$101)),1,IF(ISNUMBER(SEARCH("Medium",$G$101)),0.5,0)),0))</f>
        <v/>
      </c>
      <c r="I101" s="54" t="n"/>
      <c r="J101" s="54" t="n"/>
      <c r="K101" s="54" t="n"/>
      <c r="L101" s="54" t="n"/>
      <c r="M101" s="54" t="n"/>
      <c r="N101" s="54" t="n"/>
      <c r="O101" s="54" t="n"/>
      <c r="P101" s="54" t="n"/>
      <c r="Q101" s="54" t="n"/>
    </row>
    <row r="102">
      <c r="A102" s="41" t="n"/>
      <c r="B102" s="42" t="n"/>
      <c r="C102" s="42" t="n"/>
      <c r="D102" s="42" t="n"/>
      <c r="E102" s="42" t="n"/>
      <c r="F102" s="42" t="n"/>
      <c r="G102" s="42" t="n"/>
      <c r="H102" s="43">
        <f>IF($A$102="","",ROUND(0.35*VLOOKUP($A$102,topic_clusters!$A$5:$J$104,7,FALSE)+0.25*VLOOKUP($A$102,topic_clusters!$A$5:$J$104,8,FALSE)+0.2*VLOOKUP($A$102,topic_clusters!$A$5:$J$104,9,FALSE)+0.1*VLOOKUP($A$102,topic_clusters!$A$5:$J$104,10,FALSE)-10*IF(ISNUMBER(SEARCH("High",$G$102)),1,IF(ISNUMBER(SEARCH("Medium",$G$102)),0.5,0)),0))</f>
        <v/>
      </c>
      <c r="I102" s="54" t="n"/>
      <c r="J102" s="54" t="n"/>
      <c r="K102" s="54" t="n"/>
      <c r="L102" s="54" t="n"/>
      <c r="M102" s="54" t="n"/>
      <c r="N102" s="54" t="n"/>
      <c r="O102" s="54" t="n"/>
      <c r="P102" s="54" t="n"/>
      <c r="Q102" s="54" t="n"/>
    </row>
    <row r="103">
      <c r="A103" s="41" t="n"/>
      <c r="B103" s="42" t="n"/>
      <c r="C103" s="42" t="n"/>
      <c r="D103" s="42" t="n"/>
      <c r="E103" s="42" t="n"/>
      <c r="F103" s="42" t="n"/>
      <c r="G103" s="42" t="n"/>
      <c r="H103" s="43">
        <f>IF($A$103="","",ROUND(0.35*VLOOKUP($A$103,topic_clusters!$A$5:$J$104,7,FALSE)+0.25*VLOOKUP($A$103,topic_clusters!$A$5:$J$104,8,FALSE)+0.2*VLOOKUP($A$103,topic_clusters!$A$5:$J$104,9,FALSE)+0.1*VLOOKUP($A$103,topic_clusters!$A$5:$J$104,10,FALSE)-10*IF(ISNUMBER(SEARCH("High",$G$103)),1,IF(ISNUMBER(SEARCH("Medium",$G$103)),0.5,0)),0))</f>
        <v/>
      </c>
      <c r="I103" s="54" t="n"/>
      <c r="J103" s="54" t="n"/>
      <c r="K103" s="54" t="n"/>
      <c r="L103" s="54" t="n"/>
      <c r="M103" s="54" t="n"/>
      <c r="N103" s="54" t="n"/>
      <c r="O103" s="54" t="n"/>
      <c r="P103" s="54" t="n"/>
      <c r="Q103" s="54" t="n"/>
    </row>
    <row r="104">
      <c r="A104" s="44" t="n"/>
      <c r="B104" s="45" t="n"/>
      <c r="C104" s="45" t="n"/>
      <c r="D104" s="45" t="n"/>
      <c r="E104" s="45" t="n"/>
      <c r="F104" s="45" t="n"/>
      <c r="G104" s="45" t="n"/>
      <c r="H104" s="46">
        <f>IF($A$104="","",ROUND(0.35*VLOOKUP($A$104,topic_clusters!$A$5:$J$104,7,FALSE)+0.25*VLOOKUP($A$104,topic_clusters!$A$5:$J$104,8,FALSE)+0.2*VLOOKUP($A$104,topic_clusters!$A$5:$J$104,9,FALSE)+0.1*VLOOKUP($A$104,topic_clusters!$A$5:$J$104,10,FALSE)-10*IF(ISNUMBER(SEARCH("High",$G$104)),1,IF(ISNUMBER(SEARCH("Medium",$G$104)),0.5,0)),0))</f>
        <v/>
      </c>
      <c r="I104" s="54" t="n"/>
      <c r="J104" s="54" t="n"/>
      <c r="K104" s="54" t="n"/>
      <c r="L104" s="54" t="n"/>
      <c r="M104" s="54" t="n"/>
      <c r="N104" s="54" t="n"/>
      <c r="O104" s="54" t="n"/>
      <c r="P104" s="54" t="n"/>
      <c r="Q104" s="54" t="n"/>
    </row>
    <row r="105">
      <c r="A105" s="54" t="n"/>
      <c r="B105" s="54" t="n"/>
      <c r="C105" s="54" t="n"/>
      <c r="D105" s="54" t="n"/>
      <c r="E105" s="54" t="n"/>
      <c r="F105" s="54" t="n"/>
      <c r="G105" s="54" t="n"/>
      <c r="H105" s="54" t="n"/>
      <c r="I105" s="54" t="n"/>
      <c r="J105" s="54" t="n"/>
      <c r="K105" s="54" t="n"/>
      <c r="L105" s="54" t="n"/>
      <c r="M105" s="54" t="n"/>
      <c r="N105" s="54" t="n"/>
      <c r="O105" s="54" t="n"/>
      <c r="P105" s="54" t="n"/>
      <c r="Q105" s="54" t="n"/>
    </row>
    <row r="106">
      <c r="A106" s="54" t="n"/>
      <c r="B106" s="54" t="n"/>
      <c r="C106" s="54" t="n"/>
      <c r="D106" s="54" t="n"/>
      <c r="E106" s="54" t="n"/>
      <c r="F106" s="54" t="n"/>
      <c r="G106" s="54" t="n"/>
      <c r="H106" s="54" t="n"/>
      <c r="I106" s="54" t="n"/>
      <c r="J106" s="54" t="n"/>
      <c r="K106" s="54" t="n"/>
      <c r="L106" s="54" t="n"/>
      <c r="M106" s="54" t="n"/>
      <c r="N106" s="54" t="n"/>
      <c r="O106" s="54" t="n"/>
      <c r="P106" s="54" t="n"/>
      <c r="Q106" s="54" t="n"/>
    </row>
    <row r="107">
      <c r="A107" s="54" t="n"/>
      <c r="B107" s="54" t="n"/>
      <c r="C107" s="54" t="n"/>
      <c r="D107" s="54" t="n"/>
      <c r="E107" s="54" t="n"/>
      <c r="F107" s="54" t="n"/>
      <c r="G107" s="54" t="n"/>
      <c r="H107" s="54" t="n"/>
      <c r="I107" s="54" t="n"/>
      <c r="J107" s="54" t="n"/>
      <c r="K107" s="54" t="n"/>
      <c r="L107" s="54" t="n"/>
      <c r="M107" s="54" t="n"/>
      <c r="N107" s="54" t="n"/>
      <c r="O107" s="54" t="n"/>
      <c r="P107" s="54" t="n"/>
      <c r="Q107" s="54" t="n"/>
    </row>
    <row r="108">
      <c r="A108" s="54" t="n"/>
      <c r="B108" s="54" t="n"/>
      <c r="C108" s="54" t="n"/>
      <c r="D108" s="54" t="n"/>
      <c r="E108" s="54" t="n"/>
      <c r="F108" s="54" t="n"/>
      <c r="G108" s="54" t="n"/>
      <c r="H108" s="54" t="n"/>
      <c r="I108" s="54" t="n"/>
      <c r="J108" s="54" t="n"/>
      <c r="K108" s="54" t="n"/>
      <c r="L108" s="54" t="n"/>
      <c r="M108" s="54" t="n"/>
      <c r="N108" s="54" t="n"/>
      <c r="O108" s="54" t="n"/>
      <c r="P108" s="54" t="n"/>
      <c r="Q108" s="54" t="n"/>
    </row>
    <row r="109">
      <c r="A109" s="54" t="n"/>
      <c r="B109" s="54" t="n"/>
      <c r="C109" s="54" t="n"/>
      <c r="D109" s="54" t="n"/>
      <c r="E109" s="54" t="n"/>
      <c r="F109" s="54" t="n"/>
      <c r="G109" s="54" t="n"/>
      <c r="H109" s="54" t="n"/>
      <c r="I109" s="54" t="n"/>
      <c r="J109" s="54" t="n"/>
      <c r="K109" s="54" t="n"/>
      <c r="L109" s="54" t="n"/>
      <c r="M109" s="54" t="n"/>
      <c r="N109" s="54" t="n"/>
      <c r="O109" s="54" t="n"/>
      <c r="P109" s="54" t="n"/>
      <c r="Q109" s="54" t="n"/>
    </row>
    <row r="110">
      <c r="A110" s="54" t="n"/>
      <c r="B110" s="54" t="n"/>
      <c r="C110" s="54" t="n"/>
      <c r="D110" s="54" t="n"/>
      <c r="E110" s="54" t="n"/>
      <c r="F110" s="54" t="n"/>
      <c r="G110" s="54" t="n"/>
      <c r="H110" s="54" t="n"/>
      <c r="I110" s="54" t="n"/>
      <c r="J110" s="54" t="n"/>
      <c r="K110" s="54" t="n"/>
      <c r="L110" s="54" t="n"/>
      <c r="M110" s="54" t="n"/>
      <c r="N110" s="54" t="n"/>
      <c r="O110" s="54" t="n"/>
      <c r="P110" s="54" t="n"/>
      <c r="Q110" s="54" t="n"/>
    </row>
    <row r="111">
      <c r="A111" s="54" t="n"/>
      <c r="B111" s="54" t="n"/>
      <c r="C111" s="54" t="n"/>
      <c r="D111" s="54" t="n"/>
      <c r="E111" s="54" t="n"/>
      <c r="F111" s="54" t="n"/>
      <c r="G111" s="54" t="n"/>
      <c r="H111" s="54" t="n"/>
      <c r="I111" s="54" t="n"/>
      <c r="J111" s="54" t="n"/>
      <c r="K111" s="54" t="n"/>
      <c r="L111" s="54" t="n"/>
      <c r="M111" s="54" t="n"/>
      <c r="N111" s="54" t="n"/>
      <c r="O111" s="54" t="n"/>
      <c r="P111" s="54" t="n"/>
      <c r="Q111" s="54" t="n"/>
    </row>
    <row r="112">
      <c r="A112" s="54" t="n"/>
      <c r="B112" s="54" t="n"/>
      <c r="C112" s="54" t="n"/>
      <c r="D112" s="54" t="n"/>
      <c r="E112" s="54" t="n"/>
      <c r="F112" s="54" t="n"/>
      <c r="G112" s="54" t="n"/>
      <c r="H112" s="54" t="n"/>
      <c r="I112" s="54" t="n"/>
      <c r="J112" s="54" t="n"/>
      <c r="K112" s="54" t="n"/>
      <c r="L112" s="54" t="n"/>
      <c r="M112" s="54" t="n"/>
      <c r="N112" s="54" t="n"/>
      <c r="O112" s="54" t="n"/>
      <c r="P112" s="54" t="n"/>
      <c r="Q112" s="54" t="n"/>
    </row>
    <row r="113">
      <c r="A113" s="54" t="n"/>
      <c r="B113" s="54" t="n"/>
      <c r="C113" s="54" t="n"/>
      <c r="D113" s="54" t="n"/>
      <c r="E113" s="54" t="n"/>
      <c r="F113" s="54" t="n"/>
      <c r="G113" s="54" t="n"/>
      <c r="H113" s="54" t="n"/>
      <c r="I113" s="54" t="n"/>
      <c r="J113" s="54" t="n"/>
      <c r="K113" s="54" t="n"/>
      <c r="L113" s="54" t="n"/>
      <c r="M113" s="54" t="n"/>
      <c r="N113" s="54" t="n"/>
      <c r="O113" s="54" t="n"/>
      <c r="P113" s="54" t="n"/>
      <c r="Q113" s="54" t="n"/>
    </row>
    <row r="114">
      <c r="A114" s="54" t="n"/>
      <c r="B114" s="54" t="n"/>
      <c r="C114" s="54" t="n"/>
      <c r="D114" s="54" t="n"/>
      <c r="E114" s="54" t="n"/>
      <c r="F114" s="54" t="n"/>
      <c r="G114" s="54" t="n"/>
      <c r="H114" s="54" t="n"/>
      <c r="I114" s="54" t="n"/>
      <c r="J114" s="54" t="n"/>
      <c r="K114" s="54" t="n"/>
      <c r="L114" s="54" t="n"/>
      <c r="M114" s="54" t="n"/>
      <c r="N114" s="54" t="n"/>
      <c r="O114" s="54" t="n"/>
      <c r="P114" s="54" t="n"/>
      <c r="Q114" s="54" t="n"/>
    </row>
    <row r="115">
      <c r="A115" s="54" t="n"/>
      <c r="B115" s="54" t="n"/>
      <c r="C115" s="54" t="n"/>
      <c r="D115" s="54" t="n"/>
      <c r="E115" s="54" t="n"/>
      <c r="F115" s="54" t="n"/>
      <c r="G115" s="54" t="n"/>
      <c r="H115" s="54" t="n"/>
      <c r="I115" s="54" t="n"/>
      <c r="J115" s="54" t="n"/>
      <c r="K115" s="54" t="n"/>
      <c r="L115" s="54" t="n"/>
      <c r="M115" s="54" t="n"/>
      <c r="N115" s="54" t="n"/>
      <c r="O115" s="54" t="n"/>
      <c r="P115" s="54" t="n"/>
      <c r="Q115" s="54" t="n"/>
    </row>
    <row r="116">
      <c r="A116" s="54" t="n"/>
      <c r="B116" s="54" t="n"/>
      <c r="C116" s="54" t="n"/>
      <c r="D116" s="54" t="n"/>
      <c r="E116" s="54" t="n"/>
      <c r="F116" s="54" t="n"/>
      <c r="G116" s="54" t="n"/>
      <c r="H116" s="54" t="n"/>
      <c r="I116" s="54" t="n"/>
      <c r="J116" s="54" t="n"/>
      <c r="K116" s="54" t="n"/>
      <c r="L116" s="54" t="n"/>
      <c r="M116" s="54" t="n"/>
      <c r="N116" s="54" t="n"/>
      <c r="O116" s="54" t="n"/>
      <c r="P116" s="54" t="n"/>
      <c r="Q116" s="54" t="n"/>
    </row>
    <row r="117">
      <c r="A117" s="54" t="n"/>
      <c r="B117" s="54" t="n"/>
      <c r="C117" s="54" t="n"/>
      <c r="D117" s="54" t="n"/>
      <c r="E117" s="54" t="n"/>
      <c r="F117" s="54" t="n"/>
      <c r="G117" s="54" t="n"/>
      <c r="H117" s="54" t="n"/>
      <c r="I117" s="54" t="n"/>
      <c r="J117" s="54" t="n"/>
      <c r="K117" s="54" t="n"/>
      <c r="L117" s="54" t="n"/>
      <c r="M117" s="54" t="n"/>
      <c r="N117" s="54" t="n"/>
      <c r="O117" s="54" t="n"/>
      <c r="P117" s="54" t="n"/>
      <c r="Q117" s="54" t="n"/>
    </row>
    <row r="118">
      <c r="A118" s="54" t="n"/>
      <c r="B118" s="54" t="n"/>
      <c r="C118" s="54" t="n"/>
      <c r="D118" s="54" t="n"/>
      <c r="E118" s="54" t="n"/>
      <c r="F118" s="54" t="n"/>
      <c r="G118" s="54" t="n"/>
      <c r="H118" s="54" t="n"/>
      <c r="I118" s="54" t="n"/>
      <c r="J118" s="54" t="n"/>
      <c r="K118" s="54" t="n"/>
      <c r="L118" s="54" t="n"/>
      <c r="M118" s="54" t="n"/>
      <c r="N118" s="54" t="n"/>
      <c r="O118" s="54" t="n"/>
      <c r="P118" s="54" t="n"/>
      <c r="Q118" s="54" t="n"/>
    </row>
    <row r="119">
      <c r="A119" s="54" t="n"/>
      <c r="B119" s="54" t="n"/>
      <c r="C119" s="54" t="n"/>
      <c r="D119" s="54" t="n"/>
      <c r="E119" s="54" t="n"/>
      <c r="F119" s="54" t="n"/>
      <c r="G119" s="54" t="n"/>
      <c r="H119" s="54" t="n"/>
      <c r="I119" s="54" t="n"/>
      <c r="J119" s="54" t="n"/>
      <c r="K119" s="54" t="n"/>
      <c r="L119" s="54" t="n"/>
      <c r="M119" s="54" t="n"/>
      <c r="N119" s="54" t="n"/>
      <c r="O119" s="54" t="n"/>
      <c r="P119" s="54" t="n"/>
      <c r="Q119" s="54" t="n"/>
    </row>
    <row r="120">
      <c r="A120" s="54" t="n"/>
      <c r="B120" s="54" t="n"/>
      <c r="C120" s="54" t="n"/>
      <c r="D120" s="54" t="n"/>
      <c r="E120" s="54" t="n"/>
      <c r="F120" s="54" t="n"/>
      <c r="G120" s="54" t="n"/>
      <c r="H120" s="54" t="n"/>
      <c r="I120" s="54" t="n"/>
      <c r="J120" s="54" t="n"/>
      <c r="K120" s="54" t="n"/>
      <c r="L120" s="54" t="n"/>
      <c r="M120" s="54" t="n"/>
      <c r="N120" s="54" t="n"/>
      <c r="O120" s="54" t="n"/>
      <c r="P120" s="54" t="n"/>
      <c r="Q120" s="54" t="n"/>
    </row>
  </sheetData>
  <conditionalFormatting sqref="H5:H104">
    <cfRule type="colorScale" priority="1">
      <colorScale>
        <cfvo type="min"/>
        <cfvo type="percentile" val="50"/>
        <cfvo type="max"/>
        <color rgb="FFFCA5A5"/>
        <color rgb="FFFDE68A"/>
        <color rgb="FF86EFAC"/>
      </colorScale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120"/>
  <sheetViews>
    <sheetView workbookViewId="0">
      <selection activeCell="A1" sqref="A1"/>
    </sheetView>
  </sheetViews>
  <sheetFormatPr baseColWidth="8" defaultRowHeight="15"/>
  <cols>
    <col width="6.670000076293945" customWidth="1" min="1" max="1"/>
    <col width="10.5600004196167" customWidth="1" min="2" max="2"/>
    <col width="22.21999931335449" customWidth="1" min="3" max="3"/>
    <col width="10.5600004196167" customWidth="1" min="4" max="4"/>
    <col width="20" customWidth="1" min="5" max="5"/>
    <col width="12.22000026702881" customWidth="1" min="6" max="6"/>
    <col width="18.88999938964844" customWidth="1" min="7" max="7"/>
    <col width="13.32999992370605" customWidth="1" min="8" max="8"/>
    <col width="36.66999816894531" customWidth="1" min="9" max="9"/>
    <col width="27.78000068664551" customWidth="1" min="10" max="10"/>
    <col width="12.22000026702881" customWidth="1" min="11" max="11"/>
    <col width="11.10999965667725" customWidth="1" min="12" max="12"/>
  </cols>
  <sheetData>
    <row r="1">
      <c r="A1" s="53" t="inlineStr">
        <is>
          <t>weekly_watchlist</t>
        </is>
      </c>
      <c r="B1" s="54" t="n"/>
      <c r="C1" s="54" t="n"/>
      <c r="D1" s="54" t="n"/>
      <c r="E1" s="54" t="n"/>
      <c r="F1" s="54" t="n"/>
      <c r="G1" s="54" t="n"/>
      <c r="H1" s="54" t="n"/>
      <c r="I1" s="54" t="n"/>
      <c r="J1" s="54" t="n"/>
      <c r="K1" s="54" t="n"/>
      <c r="L1" s="54" t="n"/>
      <c r="M1" s="54" t="n"/>
      <c r="N1" s="54" t="n"/>
      <c r="O1" s="54" t="n"/>
      <c r="P1" s="54" t="n"/>
      <c r="Q1" s="54" t="n"/>
    </row>
    <row r="2">
      <c r="A2" s="55" t="inlineStr">
        <is>
          <t>每周输出 10 个候选题材：3 个高优先级、4 个观察级、3 个风险苗头。</t>
        </is>
      </c>
      <c r="B2" s="54" t="n"/>
      <c r="C2" s="54" t="n"/>
      <c r="D2" s="54" t="n"/>
      <c r="E2" s="54" t="n"/>
      <c r="F2" s="54" t="n"/>
      <c r="G2" s="54" t="n"/>
      <c r="H2" s="54" t="n"/>
      <c r="I2" s="54" t="n"/>
      <c r="J2" s="54" t="n"/>
      <c r="K2" s="54" t="n"/>
      <c r="L2" s="54" t="n"/>
      <c r="M2" s="54" t="n"/>
      <c r="N2" s="54" t="n"/>
      <c r="O2" s="54" t="n"/>
      <c r="P2" s="54" t="n"/>
      <c r="Q2" s="54" t="n"/>
    </row>
    <row r="3">
      <c r="A3" s="54" t="n"/>
      <c r="B3" s="54" t="n"/>
      <c r="C3" s="54" t="n"/>
      <c r="D3" s="54" t="n"/>
      <c r="E3" s="54" t="n"/>
      <c r="F3" s="54" t="n"/>
      <c r="G3" s="54" t="n"/>
      <c r="H3" s="54" t="n"/>
      <c r="I3" s="54" t="n"/>
      <c r="J3" s="54" t="n"/>
      <c r="K3" s="54" t="n"/>
      <c r="L3" s="54" t="n"/>
      <c r="M3" s="54" t="n"/>
      <c r="N3" s="54" t="n"/>
      <c r="O3" s="54" t="n"/>
      <c r="P3" s="54" t="n"/>
      <c r="Q3" s="54" t="n"/>
    </row>
    <row r="4">
      <c r="A4" s="56" t="inlineStr">
        <is>
          <t>rank</t>
        </is>
      </c>
      <c r="B4" s="57" t="inlineStr">
        <is>
          <t>week_start</t>
        </is>
      </c>
      <c r="C4" s="57" t="inlineStr">
        <is>
          <t>topic_cluster</t>
        </is>
      </c>
      <c r="D4" s="57" t="inlineStr">
        <is>
          <t>priority</t>
        </is>
      </c>
      <c r="E4" s="57" t="inlineStr">
        <is>
          <t>short_drama_genre</t>
        </is>
      </c>
      <c r="F4" s="57" t="inlineStr">
        <is>
          <t>opportunity_score</t>
        </is>
      </c>
      <c r="G4" s="57" t="inlineStr">
        <is>
          <t>platforms_seen</t>
        </is>
      </c>
      <c r="H4" s="57" t="inlineStr">
        <is>
          <t>supply_position</t>
        </is>
      </c>
      <c r="I4" s="57" t="inlineStr">
        <is>
          <t>watch_reason</t>
        </is>
      </c>
      <c r="J4" s="57" t="inlineStr">
        <is>
          <t>recommended_action</t>
        </is>
      </c>
      <c r="K4" s="57" t="inlineStr">
        <is>
          <t>owner</t>
        </is>
      </c>
      <c r="L4" s="58" t="inlineStr">
        <is>
          <t>status</t>
        </is>
      </c>
      <c r="M4" s="54" t="n"/>
      <c r="N4" s="54" t="n"/>
      <c r="O4" s="54" t="n"/>
      <c r="P4" s="54" t="n"/>
      <c r="Q4" s="54" t="n"/>
    </row>
    <row r="5">
      <c r="A5" s="38" t="n">
        <v>1</v>
      </c>
      <c r="B5" s="60" t="n">
        <v>46182</v>
      </c>
      <c r="C5" s="39" t="inlineStr">
        <is>
          <t>Cheating revenge storytime</t>
        </is>
      </c>
      <c r="D5" s="39">
        <f>IF($C$5="","",IF($F$5&gt;=70,"High",IF($F$5&gt;=58,"Watch","Risk/Low")))</f>
        <v/>
      </c>
      <c r="E5" s="39">
        <f>IF($C$5="","",VLOOKUP($C$5,drama_angle_map!$A$5:$H$104,2,FALSE))</f>
        <v/>
      </c>
      <c r="F5" s="39">
        <f>IF($C$5="","",VLOOKUP($C$5,drama_angle_map!$A$5:$H$104,8,FALSE))</f>
        <v/>
      </c>
      <c r="G5" s="39">
        <f>IF($C$5="","",VLOOKUP($C$5,topic_clusters!$A$5:$J$104,6,FALSE))</f>
        <v/>
      </c>
      <c r="H5" s="39" t="inlineStr">
        <is>
          <t>可跟进</t>
        </is>
      </c>
      <c r="I5" s="39" t="inlineStr">
        <is>
          <t>高热度+强负面情绪，短剧冲突足，现有供给可做细分差异化。</t>
        </is>
      </c>
      <c r="J5" s="39" t="inlineStr">
        <is>
          <t>拆 3 个英文 hook 与前 8 集节奏</t>
        </is>
      </c>
      <c r="K5" s="39" t="inlineStr">
        <is>
          <t>内容策略</t>
        </is>
      </c>
      <c r="L5" s="40" t="inlineStr">
        <is>
          <t>active</t>
        </is>
      </c>
      <c r="M5" s="54" t="n"/>
      <c r="N5" s="54" t="n"/>
      <c r="O5" s="54" t="n"/>
      <c r="P5" s="54" t="n"/>
      <c r="Q5" s="54" t="n"/>
    </row>
    <row r="6">
      <c r="A6" s="41" t="n">
        <v>2</v>
      </c>
      <c r="B6" s="62" t="n">
        <v>46182</v>
      </c>
      <c r="C6" s="42" t="inlineStr">
        <is>
          <t>Single mom comeback</t>
        </is>
      </c>
      <c r="D6" s="42">
        <f>IF($C$6="","",IF($F$6&gt;=70,"High",IF($F$6&gt;=58,"Watch","Risk/Low")))</f>
        <v/>
      </c>
      <c r="E6" s="42">
        <f>IF($C$6="","",VLOOKUP($C$6,drama_angle_map!$A$5:$H$104,2,FALSE))</f>
        <v/>
      </c>
      <c r="F6" s="42">
        <f>IF($C$6="","",VLOOKUP($C$6,drama_angle_map!$A$5:$H$104,8,FALSE))</f>
        <v/>
      </c>
      <c r="G6" s="42">
        <f>IF($C$6="","",VLOOKUP($C$6,topic_clusters!$A$5:$J$104,6,FALSE))</f>
        <v/>
      </c>
      <c r="H6" s="42" t="inlineStr">
        <is>
          <t>可跟进</t>
        </is>
      </c>
      <c r="I6" s="42" t="inlineStr">
        <is>
          <t>女性逆袭与家庭伦理兼容，制作成本低，海外短剧适配度高。</t>
        </is>
      </c>
      <c r="J6" s="42" t="inlineStr">
        <is>
          <t>补抓 TikTok/Reddit 评论痛点</t>
        </is>
      </c>
      <c r="K6" s="42" t="inlineStr">
        <is>
          <t>内容策略</t>
        </is>
      </c>
      <c r="L6" s="43" t="inlineStr">
        <is>
          <t>active</t>
        </is>
      </c>
      <c r="M6" s="54" t="n"/>
      <c r="N6" s="54" t="n"/>
      <c r="O6" s="54" t="n"/>
      <c r="P6" s="54" t="n"/>
      <c r="Q6" s="54" t="n"/>
    </row>
    <row r="7">
      <c r="A7" s="41" t="n">
        <v>3</v>
      </c>
      <c r="B7" s="62" t="n">
        <v>46182</v>
      </c>
      <c r="C7" s="42" t="inlineStr">
        <is>
          <t>Toxic relationship recovery</t>
        </is>
      </c>
      <c r="D7" s="42">
        <f>IF($C$7="","",IF($F$7&gt;=70,"High",IF($F$7&gt;=58,"Watch","Risk/Low")))</f>
        <v/>
      </c>
      <c r="E7" s="42">
        <f>IF($C$7="","",VLOOKUP($C$7,drama_angle_map!$A$5:$H$104,2,FALSE))</f>
        <v/>
      </c>
      <c r="F7" s="42">
        <f>IF($C$7="","",VLOOKUP($C$7,drama_angle_map!$A$5:$H$104,8,FALSE))</f>
        <v/>
      </c>
      <c r="G7" s="42">
        <f>IF($C$7="","",VLOOKUP($C$7,topic_clusters!$A$5:$J$104,6,FALSE))</f>
        <v/>
      </c>
      <c r="H7" s="42" t="inlineStr">
        <is>
          <t>差异化</t>
        </is>
      </c>
      <c r="I7" s="42" t="inlineStr">
        <is>
          <t>情绪强但表达需谨慎，适合女性成长+悬疑化处理。</t>
        </is>
      </c>
      <c r="J7" s="42" t="inlineStr">
        <is>
          <t>做风险词清单与人物设定</t>
        </is>
      </c>
      <c r="K7" s="42" t="inlineStr">
        <is>
          <t>内容策略</t>
        </is>
      </c>
      <c r="L7" s="43" t="inlineStr">
        <is>
          <t>active</t>
        </is>
      </c>
      <c r="M7" s="54" t="n"/>
      <c r="N7" s="54" t="n"/>
      <c r="O7" s="54" t="n"/>
      <c r="P7" s="54" t="n"/>
      <c r="Q7" s="54" t="n"/>
    </row>
    <row r="8">
      <c r="A8" s="41" t="n">
        <v>4</v>
      </c>
      <c r="B8" s="62" t="n">
        <v>46182</v>
      </c>
      <c r="C8" s="42" t="inlineStr">
        <is>
          <t>Workplace justice arc</t>
        </is>
      </c>
      <c r="D8" s="42">
        <f>IF($C$8="","",IF($F$8&gt;=70,"High",IF($F$8&gt;=58,"Watch","Risk/Low")))</f>
        <v/>
      </c>
      <c r="E8" s="42">
        <f>IF($C$8="","",VLOOKUP($C$8,drama_angle_map!$A$5:$H$104,2,FALSE))</f>
        <v/>
      </c>
      <c r="F8" s="42">
        <f>IF($C$8="","",VLOOKUP($C$8,drama_angle_map!$A$5:$H$104,8,FALSE))</f>
        <v/>
      </c>
      <c r="G8" s="42">
        <f>IF($C$8="","",VLOOKUP($C$8,topic_clusters!$A$5:$J$104,6,FALSE))</f>
        <v/>
      </c>
      <c r="H8" s="42" t="inlineStr">
        <is>
          <t>观察</t>
        </is>
      </c>
      <c r="I8" s="42" t="inlineStr">
        <is>
          <t>社会情绪稳定，适合低成本都市爽剧，但需强化恋爱/反转钩子。</t>
        </is>
      </c>
      <c r="J8" s="42" t="inlineStr">
        <is>
          <t>对照职场短剧投放素材</t>
        </is>
      </c>
      <c r="K8" s="42" t="inlineStr">
        <is>
          <t>增长分析</t>
        </is>
      </c>
      <c r="L8" s="43" t="inlineStr">
        <is>
          <t>watch</t>
        </is>
      </c>
      <c r="M8" s="54" t="n"/>
      <c r="N8" s="54" t="n"/>
      <c r="O8" s="54" t="n"/>
      <c r="P8" s="54" t="n"/>
      <c r="Q8" s="54" t="n"/>
    </row>
    <row r="9">
      <c r="A9" s="41" t="n">
        <v>5</v>
      </c>
      <c r="B9" s="62" t="n">
        <v>46182</v>
      </c>
      <c r="C9" s="42" t="inlineStr">
        <is>
          <t>Werewolf rejected mate</t>
        </is>
      </c>
      <c r="D9" s="42">
        <f>IF($C$9="","",IF($F$9&gt;=70,"High",IF($F$9&gt;=58,"Watch","Risk/Low")))</f>
        <v/>
      </c>
      <c r="E9" s="42">
        <f>IF($C$9="","",VLOOKUP($C$9,drama_angle_map!$A$5:$H$104,2,FALSE))</f>
        <v/>
      </c>
      <c r="F9" s="42">
        <f>IF($C$9="","",VLOOKUP($C$9,drama_angle_map!$A$5:$H$104,8,FALSE))</f>
        <v/>
      </c>
      <c r="G9" s="42">
        <f>IF($C$9="","",VLOOKUP($C$9,topic_clusters!$A$5:$J$104,6,FALSE))</f>
        <v/>
      </c>
      <c r="H9" s="42" t="inlineStr">
        <is>
          <t>避让/差异化</t>
        </is>
      </c>
      <c r="I9" s="42" t="inlineStr">
        <is>
          <t>需求耐久但供给拥挤，需要 AI/漫剧化或世界观新意。</t>
        </is>
      </c>
      <c r="J9" s="42" t="inlineStr">
        <is>
          <t>找新设定而非复制 alpha mate</t>
        </is>
      </c>
      <c r="K9" s="42" t="inlineStr">
        <is>
          <t>内容策略</t>
        </is>
      </c>
      <c r="L9" s="43" t="inlineStr">
        <is>
          <t>watch</t>
        </is>
      </c>
      <c r="M9" s="54" t="n"/>
      <c r="N9" s="54" t="n"/>
      <c r="O9" s="54" t="n"/>
      <c r="P9" s="54" t="n"/>
      <c r="Q9" s="54" t="n"/>
    </row>
    <row r="10">
      <c r="A10" s="41" t="n">
        <v>6</v>
      </c>
      <c r="B10" s="62" t="n">
        <v>46182</v>
      </c>
      <c r="C10" s="42" t="inlineStr">
        <is>
          <t>Mafia forbidden romance</t>
        </is>
      </c>
      <c r="D10" s="42">
        <f>IF($C$10="","",IF($F$10&gt;=70,"High",IF($F$10&gt;=58,"Watch","Risk/Low")))</f>
        <v/>
      </c>
      <c r="E10" s="42">
        <f>IF($C$10="","",VLOOKUP($C$10,drama_angle_map!$A$5:$H$104,2,FALSE))</f>
        <v/>
      </c>
      <c r="F10" s="42">
        <f>IF($C$10="","",VLOOKUP($C$10,drama_angle_map!$A$5:$H$104,8,FALSE))</f>
        <v/>
      </c>
      <c r="G10" s="42">
        <f>IF($C$10="","",VLOOKUP($C$10,topic_clusters!$A$5:$J$104,6,FALSE))</f>
        <v/>
      </c>
      <c r="H10" s="42" t="inlineStr">
        <is>
          <t>高风险观察</t>
        </is>
      </c>
      <c r="I10" s="42" t="inlineStr">
        <is>
          <t>禁忌恋冲突强，但暴力/胁迫风险高，适合只做弱信号追踪。</t>
        </is>
      </c>
      <c r="J10" s="42" t="inlineStr">
        <is>
          <t>仅收集 hook，不进入立项</t>
        </is>
      </c>
      <c r="K10" s="42" t="inlineStr">
        <is>
          <t>内容策略</t>
        </is>
      </c>
      <c r="L10" s="43" t="inlineStr">
        <is>
          <t>risk_watch</t>
        </is>
      </c>
      <c r="M10" s="54" t="n"/>
      <c r="N10" s="54" t="n"/>
      <c r="O10" s="54" t="n"/>
      <c r="P10" s="54" t="n"/>
      <c r="Q10" s="54" t="n"/>
    </row>
    <row r="11">
      <c r="A11" s="41" t="n"/>
      <c r="B11" s="62" t="n"/>
      <c r="C11" s="42" t="n"/>
      <c r="D11" s="42">
        <f>IF($C$11="","",IF($F$11&gt;=70,"High",IF($F$11&gt;=58,"Watch","Risk/Low")))</f>
        <v/>
      </c>
      <c r="E11" s="42">
        <f>IF($C$11="","",VLOOKUP($C$11,drama_angle_map!$A$5:$H$104,2,FALSE))</f>
        <v/>
      </c>
      <c r="F11" s="42">
        <f>IF($C$11="","",VLOOKUP($C$11,drama_angle_map!$A$5:$H$104,8,FALSE))</f>
        <v/>
      </c>
      <c r="G11" s="42">
        <f>IF($C$11="","",VLOOKUP($C$11,topic_clusters!$A$5:$J$104,6,FALSE))</f>
        <v/>
      </c>
      <c r="H11" s="42" t="n"/>
      <c r="I11" s="42" t="n"/>
      <c r="J11" s="42" t="n"/>
      <c r="K11" s="42" t="n"/>
      <c r="L11" s="43" t="n"/>
      <c r="M11" s="54" t="n"/>
      <c r="N11" s="54" t="n"/>
      <c r="O11" s="54" t="n"/>
      <c r="P11" s="54" t="n"/>
      <c r="Q11" s="54" t="n"/>
    </row>
    <row r="12">
      <c r="A12" s="41" t="n"/>
      <c r="B12" s="62" t="n"/>
      <c r="C12" s="42" t="n"/>
      <c r="D12" s="42">
        <f>IF($C$12="","",IF($F$12&gt;=70,"High",IF($F$12&gt;=58,"Watch","Risk/Low")))</f>
        <v/>
      </c>
      <c r="E12" s="42">
        <f>IF($C$12="","",VLOOKUP($C$12,drama_angle_map!$A$5:$H$104,2,FALSE))</f>
        <v/>
      </c>
      <c r="F12" s="42">
        <f>IF($C$12="","",VLOOKUP($C$12,drama_angle_map!$A$5:$H$104,8,FALSE))</f>
        <v/>
      </c>
      <c r="G12" s="42">
        <f>IF($C$12="","",VLOOKUP($C$12,topic_clusters!$A$5:$J$104,6,FALSE))</f>
        <v/>
      </c>
      <c r="H12" s="42" t="n"/>
      <c r="I12" s="42" t="n"/>
      <c r="J12" s="42" t="n"/>
      <c r="K12" s="42" t="n"/>
      <c r="L12" s="43" t="n"/>
      <c r="M12" s="54" t="n"/>
      <c r="N12" s="54" t="n"/>
      <c r="O12" s="54" t="n"/>
      <c r="P12" s="54" t="n"/>
      <c r="Q12" s="54" t="n"/>
    </row>
    <row r="13">
      <c r="A13" s="41" t="n"/>
      <c r="B13" s="62" t="n"/>
      <c r="C13" s="42" t="n"/>
      <c r="D13" s="42">
        <f>IF($C$13="","",IF($F$13&gt;=70,"High",IF($F$13&gt;=58,"Watch","Risk/Low")))</f>
        <v/>
      </c>
      <c r="E13" s="42">
        <f>IF($C$13="","",VLOOKUP($C$13,drama_angle_map!$A$5:$H$104,2,FALSE))</f>
        <v/>
      </c>
      <c r="F13" s="42">
        <f>IF($C$13="","",VLOOKUP($C$13,drama_angle_map!$A$5:$H$104,8,FALSE))</f>
        <v/>
      </c>
      <c r="G13" s="42">
        <f>IF($C$13="","",VLOOKUP($C$13,topic_clusters!$A$5:$J$104,6,FALSE))</f>
        <v/>
      </c>
      <c r="H13" s="42" t="n"/>
      <c r="I13" s="42" t="n"/>
      <c r="J13" s="42" t="n"/>
      <c r="K13" s="42" t="n"/>
      <c r="L13" s="43" t="n"/>
      <c r="M13" s="54" t="n"/>
      <c r="N13" s="54" t="n"/>
      <c r="O13" s="54" t="n"/>
      <c r="P13" s="54" t="n"/>
      <c r="Q13" s="54" t="n"/>
    </row>
    <row r="14">
      <c r="A14" s="41" t="n"/>
      <c r="B14" s="62" t="n"/>
      <c r="C14" s="42" t="n"/>
      <c r="D14" s="42">
        <f>IF($C$14="","",IF($F$14&gt;=70,"High",IF($F$14&gt;=58,"Watch","Risk/Low")))</f>
        <v/>
      </c>
      <c r="E14" s="42">
        <f>IF($C$14="","",VLOOKUP($C$14,drama_angle_map!$A$5:$H$104,2,FALSE))</f>
        <v/>
      </c>
      <c r="F14" s="42">
        <f>IF($C$14="","",VLOOKUP($C$14,drama_angle_map!$A$5:$H$104,8,FALSE))</f>
        <v/>
      </c>
      <c r="G14" s="42">
        <f>IF($C$14="","",VLOOKUP($C$14,topic_clusters!$A$5:$J$104,6,FALSE))</f>
        <v/>
      </c>
      <c r="H14" s="42" t="n"/>
      <c r="I14" s="42" t="n"/>
      <c r="J14" s="42" t="n"/>
      <c r="K14" s="42" t="n"/>
      <c r="L14" s="43" t="n"/>
      <c r="M14" s="54" t="n"/>
      <c r="N14" s="54" t="n"/>
      <c r="O14" s="54" t="n"/>
      <c r="P14" s="54" t="n"/>
      <c r="Q14" s="54" t="n"/>
    </row>
    <row r="15">
      <c r="A15" s="41" t="n"/>
      <c r="B15" s="62" t="n"/>
      <c r="C15" s="42" t="n"/>
      <c r="D15" s="42">
        <f>IF($C$15="","",IF($F$15&gt;=70,"High",IF($F$15&gt;=58,"Watch","Risk/Low")))</f>
        <v/>
      </c>
      <c r="E15" s="42">
        <f>IF($C$15="","",VLOOKUP($C$15,drama_angle_map!$A$5:$H$104,2,FALSE))</f>
        <v/>
      </c>
      <c r="F15" s="42">
        <f>IF($C$15="","",VLOOKUP($C$15,drama_angle_map!$A$5:$H$104,8,FALSE))</f>
        <v/>
      </c>
      <c r="G15" s="42">
        <f>IF($C$15="","",VLOOKUP($C$15,topic_clusters!$A$5:$J$104,6,FALSE))</f>
        <v/>
      </c>
      <c r="H15" s="42" t="n"/>
      <c r="I15" s="42" t="n"/>
      <c r="J15" s="42" t="n"/>
      <c r="K15" s="42" t="n"/>
      <c r="L15" s="43" t="n"/>
      <c r="M15" s="54" t="n"/>
      <c r="N15" s="54" t="n"/>
      <c r="O15" s="54" t="n"/>
      <c r="P15" s="54" t="n"/>
      <c r="Q15" s="54" t="n"/>
    </row>
    <row r="16">
      <c r="A16" s="41" t="n"/>
      <c r="B16" s="62" t="n"/>
      <c r="C16" s="42" t="n"/>
      <c r="D16" s="42">
        <f>IF($C$16="","",IF($F$16&gt;=70,"High",IF($F$16&gt;=58,"Watch","Risk/Low")))</f>
        <v/>
      </c>
      <c r="E16" s="42">
        <f>IF($C$16="","",VLOOKUP($C$16,drama_angle_map!$A$5:$H$104,2,FALSE))</f>
        <v/>
      </c>
      <c r="F16" s="42">
        <f>IF($C$16="","",VLOOKUP($C$16,drama_angle_map!$A$5:$H$104,8,FALSE))</f>
        <v/>
      </c>
      <c r="G16" s="42">
        <f>IF($C$16="","",VLOOKUP($C$16,topic_clusters!$A$5:$J$104,6,FALSE))</f>
        <v/>
      </c>
      <c r="H16" s="42" t="n"/>
      <c r="I16" s="42" t="n"/>
      <c r="J16" s="42" t="n"/>
      <c r="K16" s="42" t="n"/>
      <c r="L16" s="43" t="n"/>
      <c r="M16" s="54" t="n"/>
      <c r="N16" s="54" t="n"/>
      <c r="O16" s="54" t="n"/>
      <c r="P16" s="54" t="n"/>
      <c r="Q16" s="54" t="n"/>
    </row>
    <row r="17">
      <c r="A17" s="41" t="n"/>
      <c r="B17" s="62" t="n"/>
      <c r="C17" s="42" t="n"/>
      <c r="D17" s="42">
        <f>IF($C$17="","",IF($F$17&gt;=70,"High",IF($F$17&gt;=58,"Watch","Risk/Low")))</f>
        <v/>
      </c>
      <c r="E17" s="42">
        <f>IF($C$17="","",VLOOKUP($C$17,drama_angle_map!$A$5:$H$104,2,FALSE))</f>
        <v/>
      </c>
      <c r="F17" s="42">
        <f>IF($C$17="","",VLOOKUP($C$17,drama_angle_map!$A$5:$H$104,8,FALSE))</f>
        <v/>
      </c>
      <c r="G17" s="42">
        <f>IF($C$17="","",VLOOKUP($C$17,topic_clusters!$A$5:$J$104,6,FALSE))</f>
        <v/>
      </c>
      <c r="H17" s="42" t="n"/>
      <c r="I17" s="42" t="n"/>
      <c r="J17" s="42" t="n"/>
      <c r="K17" s="42" t="n"/>
      <c r="L17" s="43" t="n"/>
      <c r="M17" s="54" t="n"/>
      <c r="N17" s="54" t="n"/>
      <c r="O17" s="54" t="n"/>
      <c r="P17" s="54" t="n"/>
      <c r="Q17" s="54" t="n"/>
    </row>
    <row r="18">
      <c r="A18" s="41" t="n"/>
      <c r="B18" s="62" t="n"/>
      <c r="C18" s="42" t="n"/>
      <c r="D18" s="42">
        <f>IF($C$18="","",IF($F$18&gt;=70,"High",IF($F$18&gt;=58,"Watch","Risk/Low")))</f>
        <v/>
      </c>
      <c r="E18" s="42">
        <f>IF($C$18="","",VLOOKUP($C$18,drama_angle_map!$A$5:$H$104,2,FALSE))</f>
        <v/>
      </c>
      <c r="F18" s="42">
        <f>IF($C$18="","",VLOOKUP($C$18,drama_angle_map!$A$5:$H$104,8,FALSE))</f>
        <v/>
      </c>
      <c r="G18" s="42">
        <f>IF($C$18="","",VLOOKUP($C$18,topic_clusters!$A$5:$J$104,6,FALSE))</f>
        <v/>
      </c>
      <c r="H18" s="42" t="n"/>
      <c r="I18" s="42" t="n"/>
      <c r="J18" s="42" t="n"/>
      <c r="K18" s="42" t="n"/>
      <c r="L18" s="43" t="n"/>
      <c r="M18" s="54" t="n"/>
      <c r="N18" s="54" t="n"/>
      <c r="O18" s="54" t="n"/>
      <c r="P18" s="54" t="n"/>
      <c r="Q18" s="54" t="n"/>
    </row>
    <row r="19">
      <c r="A19" s="41" t="n"/>
      <c r="B19" s="62" t="n"/>
      <c r="C19" s="42" t="n"/>
      <c r="D19" s="42">
        <f>IF($C$19="","",IF($F$19&gt;=70,"High",IF($F$19&gt;=58,"Watch","Risk/Low")))</f>
        <v/>
      </c>
      <c r="E19" s="42">
        <f>IF($C$19="","",VLOOKUP($C$19,drama_angle_map!$A$5:$H$104,2,FALSE))</f>
        <v/>
      </c>
      <c r="F19" s="42">
        <f>IF($C$19="","",VLOOKUP($C$19,drama_angle_map!$A$5:$H$104,8,FALSE))</f>
        <v/>
      </c>
      <c r="G19" s="42">
        <f>IF($C$19="","",VLOOKUP($C$19,topic_clusters!$A$5:$J$104,6,FALSE))</f>
        <v/>
      </c>
      <c r="H19" s="42" t="n"/>
      <c r="I19" s="42" t="n"/>
      <c r="J19" s="42" t="n"/>
      <c r="K19" s="42" t="n"/>
      <c r="L19" s="43" t="n"/>
      <c r="M19" s="54" t="n"/>
      <c r="N19" s="54" t="n"/>
      <c r="O19" s="54" t="n"/>
      <c r="P19" s="54" t="n"/>
      <c r="Q19" s="54" t="n"/>
    </row>
    <row r="20">
      <c r="A20" s="41" t="n"/>
      <c r="B20" s="62" t="n"/>
      <c r="C20" s="42" t="n"/>
      <c r="D20" s="42">
        <f>IF($C$20="","",IF($F$20&gt;=70,"High",IF($F$20&gt;=58,"Watch","Risk/Low")))</f>
        <v/>
      </c>
      <c r="E20" s="42">
        <f>IF($C$20="","",VLOOKUP($C$20,drama_angle_map!$A$5:$H$104,2,FALSE))</f>
        <v/>
      </c>
      <c r="F20" s="42">
        <f>IF($C$20="","",VLOOKUP($C$20,drama_angle_map!$A$5:$H$104,8,FALSE))</f>
        <v/>
      </c>
      <c r="G20" s="42">
        <f>IF($C$20="","",VLOOKUP($C$20,topic_clusters!$A$5:$J$104,6,FALSE))</f>
        <v/>
      </c>
      <c r="H20" s="42" t="n"/>
      <c r="I20" s="42" t="n"/>
      <c r="J20" s="42" t="n"/>
      <c r="K20" s="42" t="n"/>
      <c r="L20" s="43" t="n"/>
      <c r="M20" s="54" t="n"/>
      <c r="N20" s="54" t="n"/>
      <c r="O20" s="54" t="n"/>
      <c r="P20" s="54" t="n"/>
      <c r="Q20" s="54" t="n"/>
    </row>
    <row r="21">
      <c r="A21" s="41" t="n"/>
      <c r="B21" s="62" t="n"/>
      <c r="C21" s="42" t="n"/>
      <c r="D21" s="42">
        <f>IF($C$21="","",IF($F$21&gt;=70,"High",IF($F$21&gt;=58,"Watch","Risk/Low")))</f>
        <v/>
      </c>
      <c r="E21" s="42">
        <f>IF($C$21="","",VLOOKUP($C$21,drama_angle_map!$A$5:$H$104,2,FALSE))</f>
        <v/>
      </c>
      <c r="F21" s="42">
        <f>IF($C$21="","",VLOOKUP($C$21,drama_angle_map!$A$5:$H$104,8,FALSE))</f>
        <v/>
      </c>
      <c r="G21" s="42">
        <f>IF($C$21="","",VLOOKUP($C$21,topic_clusters!$A$5:$J$104,6,FALSE))</f>
        <v/>
      </c>
      <c r="H21" s="42" t="n"/>
      <c r="I21" s="42" t="n"/>
      <c r="J21" s="42" t="n"/>
      <c r="K21" s="42" t="n"/>
      <c r="L21" s="43" t="n"/>
      <c r="M21" s="54" t="n"/>
      <c r="N21" s="54" t="n"/>
      <c r="O21" s="54" t="n"/>
      <c r="P21" s="54" t="n"/>
      <c r="Q21" s="54" t="n"/>
    </row>
    <row r="22">
      <c r="A22" s="41" t="n"/>
      <c r="B22" s="62" t="n"/>
      <c r="C22" s="42" t="n"/>
      <c r="D22" s="42">
        <f>IF($C$22="","",IF($F$22&gt;=70,"High",IF($F$22&gt;=58,"Watch","Risk/Low")))</f>
        <v/>
      </c>
      <c r="E22" s="42">
        <f>IF($C$22="","",VLOOKUP($C$22,drama_angle_map!$A$5:$H$104,2,FALSE))</f>
        <v/>
      </c>
      <c r="F22" s="42">
        <f>IF($C$22="","",VLOOKUP($C$22,drama_angle_map!$A$5:$H$104,8,FALSE))</f>
        <v/>
      </c>
      <c r="G22" s="42">
        <f>IF($C$22="","",VLOOKUP($C$22,topic_clusters!$A$5:$J$104,6,FALSE))</f>
        <v/>
      </c>
      <c r="H22" s="42" t="n"/>
      <c r="I22" s="42" t="n"/>
      <c r="J22" s="42" t="n"/>
      <c r="K22" s="42" t="n"/>
      <c r="L22" s="43" t="n"/>
      <c r="M22" s="54" t="n"/>
      <c r="N22" s="54" t="n"/>
      <c r="O22" s="54" t="n"/>
      <c r="P22" s="54" t="n"/>
      <c r="Q22" s="54" t="n"/>
    </row>
    <row r="23">
      <c r="A23" s="41" t="n"/>
      <c r="B23" s="62" t="n"/>
      <c r="C23" s="42" t="n"/>
      <c r="D23" s="42">
        <f>IF($C$23="","",IF($F$23&gt;=70,"High",IF($F$23&gt;=58,"Watch","Risk/Low")))</f>
        <v/>
      </c>
      <c r="E23" s="42">
        <f>IF($C$23="","",VLOOKUP($C$23,drama_angle_map!$A$5:$H$104,2,FALSE))</f>
        <v/>
      </c>
      <c r="F23" s="42">
        <f>IF($C$23="","",VLOOKUP($C$23,drama_angle_map!$A$5:$H$104,8,FALSE))</f>
        <v/>
      </c>
      <c r="G23" s="42">
        <f>IF($C$23="","",VLOOKUP($C$23,topic_clusters!$A$5:$J$104,6,FALSE))</f>
        <v/>
      </c>
      <c r="H23" s="42" t="n"/>
      <c r="I23" s="42" t="n"/>
      <c r="J23" s="42" t="n"/>
      <c r="K23" s="42" t="n"/>
      <c r="L23" s="43" t="n"/>
      <c r="M23" s="54" t="n"/>
      <c r="N23" s="54" t="n"/>
      <c r="O23" s="54" t="n"/>
      <c r="P23" s="54" t="n"/>
      <c r="Q23" s="54" t="n"/>
    </row>
    <row r="24">
      <c r="A24" s="41" t="n"/>
      <c r="B24" s="62" t="n"/>
      <c r="C24" s="42" t="n"/>
      <c r="D24" s="42">
        <f>IF($C$24="","",IF($F$24&gt;=70,"High",IF($F$24&gt;=58,"Watch","Risk/Low")))</f>
        <v/>
      </c>
      <c r="E24" s="42">
        <f>IF($C$24="","",VLOOKUP($C$24,drama_angle_map!$A$5:$H$104,2,FALSE))</f>
        <v/>
      </c>
      <c r="F24" s="42">
        <f>IF($C$24="","",VLOOKUP($C$24,drama_angle_map!$A$5:$H$104,8,FALSE))</f>
        <v/>
      </c>
      <c r="G24" s="42">
        <f>IF($C$24="","",VLOOKUP($C$24,topic_clusters!$A$5:$J$104,6,FALSE))</f>
        <v/>
      </c>
      <c r="H24" s="42" t="n"/>
      <c r="I24" s="42" t="n"/>
      <c r="J24" s="42" t="n"/>
      <c r="K24" s="42" t="n"/>
      <c r="L24" s="43" t="n"/>
      <c r="M24" s="54" t="n"/>
      <c r="N24" s="54" t="n"/>
      <c r="O24" s="54" t="n"/>
      <c r="P24" s="54" t="n"/>
      <c r="Q24" s="54" t="n"/>
    </row>
    <row r="25">
      <c r="A25" s="41" t="n"/>
      <c r="B25" s="62" t="n"/>
      <c r="C25" s="42" t="n"/>
      <c r="D25" s="42">
        <f>IF($C$25="","",IF($F$25&gt;=70,"High",IF($F$25&gt;=58,"Watch","Risk/Low")))</f>
        <v/>
      </c>
      <c r="E25" s="42">
        <f>IF($C$25="","",VLOOKUP($C$25,drama_angle_map!$A$5:$H$104,2,FALSE))</f>
        <v/>
      </c>
      <c r="F25" s="42">
        <f>IF($C$25="","",VLOOKUP($C$25,drama_angle_map!$A$5:$H$104,8,FALSE))</f>
        <v/>
      </c>
      <c r="G25" s="42">
        <f>IF($C$25="","",VLOOKUP($C$25,topic_clusters!$A$5:$J$104,6,FALSE))</f>
        <v/>
      </c>
      <c r="H25" s="42" t="n"/>
      <c r="I25" s="42" t="n"/>
      <c r="J25" s="42" t="n"/>
      <c r="K25" s="42" t="n"/>
      <c r="L25" s="43" t="n"/>
      <c r="M25" s="54" t="n"/>
      <c r="N25" s="54" t="n"/>
      <c r="O25" s="54" t="n"/>
      <c r="P25" s="54" t="n"/>
      <c r="Q25" s="54" t="n"/>
    </row>
    <row r="26">
      <c r="A26" s="41" t="n"/>
      <c r="B26" s="62" t="n"/>
      <c r="C26" s="42" t="n"/>
      <c r="D26" s="42">
        <f>IF($C$26="","",IF($F$26&gt;=70,"High",IF($F$26&gt;=58,"Watch","Risk/Low")))</f>
        <v/>
      </c>
      <c r="E26" s="42">
        <f>IF($C$26="","",VLOOKUP($C$26,drama_angle_map!$A$5:$H$104,2,FALSE))</f>
        <v/>
      </c>
      <c r="F26" s="42">
        <f>IF($C$26="","",VLOOKUP($C$26,drama_angle_map!$A$5:$H$104,8,FALSE))</f>
        <v/>
      </c>
      <c r="G26" s="42">
        <f>IF($C$26="","",VLOOKUP($C$26,topic_clusters!$A$5:$J$104,6,FALSE))</f>
        <v/>
      </c>
      <c r="H26" s="42" t="n"/>
      <c r="I26" s="42" t="n"/>
      <c r="J26" s="42" t="n"/>
      <c r="K26" s="42" t="n"/>
      <c r="L26" s="43" t="n"/>
      <c r="M26" s="54" t="n"/>
      <c r="N26" s="54" t="n"/>
      <c r="O26" s="54" t="n"/>
      <c r="P26" s="54" t="n"/>
      <c r="Q26" s="54" t="n"/>
    </row>
    <row r="27">
      <c r="A27" s="41" t="n"/>
      <c r="B27" s="62" t="n"/>
      <c r="C27" s="42" t="n"/>
      <c r="D27" s="42">
        <f>IF($C$27="","",IF($F$27&gt;=70,"High",IF($F$27&gt;=58,"Watch","Risk/Low")))</f>
        <v/>
      </c>
      <c r="E27" s="42">
        <f>IF($C$27="","",VLOOKUP($C$27,drama_angle_map!$A$5:$H$104,2,FALSE))</f>
        <v/>
      </c>
      <c r="F27" s="42">
        <f>IF($C$27="","",VLOOKUP($C$27,drama_angle_map!$A$5:$H$104,8,FALSE))</f>
        <v/>
      </c>
      <c r="G27" s="42">
        <f>IF($C$27="","",VLOOKUP($C$27,topic_clusters!$A$5:$J$104,6,FALSE))</f>
        <v/>
      </c>
      <c r="H27" s="42" t="n"/>
      <c r="I27" s="42" t="n"/>
      <c r="J27" s="42" t="n"/>
      <c r="K27" s="42" t="n"/>
      <c r="L27" s="43" t="n"/>
      <c r="M27" s="54" t="n"/>
      <c r="N27" s="54" t="n"/>
      <c r="O27" s="54" t="n"/>
      <c r="P27" s="54" t="n"/>
      <c r="Q27" s="54" t="n"/>
    </row>
    <row r="28">
      <c r="A28" s="41" t="n"/>
      <c r="B28" s="62" t="n"/>
      <c r="C28" s="42" t="n"/>
      <c r="D28" s="42">
        <f>IF($C$28="","",IF($F$28&gt;=70,"High",IF($F$28&gt;=58,"Watch","Risk/Low")))</f>
        <v/>
      </c>
      <c r="E28" s="42">
        <f>IF($C$28="","",VLOOKUP($C$28,drama_angle_map!$A$5:$H$104,2,FALSE))</f>
        <v/>
      </c>
      <c r="F28" s="42">
        <f>IF($C$28="","",VLOOKUP($C$28,drama_angle_map!$A$5:$H$104,8,FALSE))</f>
        <v/>
      </c>
      <c r="G28" s="42">
        <f>IF($C$28="","",VLOOKUP($C$28,topic_clusters!$A$5:$J$104,6,FALSE))</f>
        <v/>
      </c>
      <c r="H28" s="42" t="n"/>
      <c r="I28" s="42" t="n"/>
      <c r="J28" s="42" t="n"/>
      <c r="K28" s="42" t="n"/>
      <c r="L28" s="43" t="n"/>
      <c r="M28" s="54" t="n"/>
      <c r="N28" s="54" t="n"/>
      <c r="O28" s="54" t="n"/>
      <c r="P28" s="54" t="n"/>
      <c r="Q28" s="54" t="n"/>
    </row>
    <row r="29">
      <c r="A29" s="41" t="n"/>
      <c r="B29" s="62" t="n"/>
      <c r="C29" s="42" t="n"/>
      <c r="D29" s="42">
        <f>IF($C$29="","",IF($F$29&gt;=70,"High",IF($F$29&gt;=58,"Watch","Risk/Low")))</f>
        <v/>
      </c>
      <c r="E29" s="42">
        <f>IF($C$29="","",VLOOKUP($C$29,drama_angle_map!$A$5:$H$104,2,FALSE))</f>
        <v/>
      </c>
      <c r="F29" s="42">
        <f>IF($C$29="","",VLOOKUP($C$29,drama_angle_map!$A$5:$H$104,8,FALSE))</f>
        <v/>
      </c>
      <c r="G29" s="42">
        <f>IF($C$29="","",VLOOKUP($C$29,topic_clusters!$A$5:$J$104,6,FALSE))</f>
        <v/>
      </c>
      <c r="H29" s="42" t="n"/>
      <c r="I29" s="42" t="n"/>
      <c r="J29" s="42" t="n"/>
      <c r="K29" s="42" t="n"/>
      <c r="L29" s="43" t="n"/>
      <c r="M29" s="54" t="n"/>
      <c r="N29" s="54" t="n"/>
      <c r="O29" s="54" t="n"/>
      <c r="P29" s="54" t="n"/>
      <c r="Q29" s="54" t="n"/>
    </row>
    <row r="30">
      <c r="A30" s="41" t="n"/>
      <c r="B30" s="62" t="n"/>
      <c r="C30" s="42" t="n"/>
      <c r="D30" s="42">
        <f>IF($C$30="","",IF($F$30&gt;=70,"High",IF($F$30&gt;=58,"Watch","Risk/Low")))</f>
        <v/>
      </c>
      <c r="E30" s="42">
        <f>IF($C$30="","",VLOOKUP($C$30,drama_angle_map!$A$5:$H$104,2,FALSE))</f>
        <v/>
      </c>
      <c r="F30" s="42">
        <f>IF($C$30="","",VLOOKUP($C$30,drama_angle_map!$A$5:$H$104,8,FALSE))</f>
        <v/>
      </c>
      <c r="G30" s="42">
        <f>IF($C$30="","",VLOOKUP($C$30,topic_clusters!$A$5:$J$104,6,FALSE))</f>
        <v/>
      </c>
      <c r="H30" s="42" t="n"/>
      <c r="I30" s="42" t="n"/>
      <c r="J30" s="42" t="n"/>
      <c r="K30" s="42" t="n"/>
      <c r="L30" s="43" t="n"/>
      <c r="M30" s="54" t="n"/>
      <c r="N30" s="54" t="n"/>
      <c r="O30" s="54" t="n"/>
      <c r="P30" s="54" t="n"/>
      <c r="Q30" s="54" t="n"/>
    </row>
    <row r="31">
      <c r="A31" s="41" t="n"/>
      <c r="B31" s="62" t="n"/>
      <c r="C31" s="42" t="n"/>
      <c r="D31" s="42">
        <f>IF($C$31="","",IF($F$31&gt;=70,"High",IF($F$31&gt;=58,"Watch","Risk/Low")))</f>
        <v/>
      </c>
      <c r="E31" s="42">
        <f>IF($C$31="","",VLOOKUP($C$31,drama_angle_map!$A$5:$H$104,2,FALSE))</f>
        <v/>
      </c>
      <c r="F31" s="42">
        <f>IF($C$31="","",VLOOKUP($C$31,drama_angle_map!$A$5:$H$104,8,FALSE))</f>
        <v/>
      </c>
      <c r="G31" s="42">
        <f>IF($C$31="","",VLOOKUP($C$31,topic_clusters!$A$5:$J$104,6,FALSE))</f>
        <v/>
      </c>
      <c r="H31" s="42" t="n"/>
      <c r="I31" s="42" t="n"/>
      <c r="J31" s="42" t="n"/>
      <c r="K31" s="42" t="n"/>
      <c r="L31" s="43" t="n"/>
      <c r="M31" s="54" t="n"/>
      <c r="N31" s="54" t="n"/>
      <c r="O31" s="54" t="n"/>
      <c r="P31" s="54" t="n"/>
      <c r="Q31" s="54" t="n"/>
    </row>
    <row r="32">
      <c r="A32" s="41" t="n"/>
      <c r="B32" s="62" t="n"/>
      <c r="C32" s="42" t="n"/>
      <c r="D32" s="42">
        <f>IF($C$32="","",IF($F$32&gt;=70,"High",IF($F$32&gt;=58,"Watch","Risk/Low")))</f>
        <v/>
      </c>
      <c r="E32" s="42">
        <f>IF($C$32="","",VLOOKUP($C$32,drama_angle_map!$A$5:$H$104,2,FALSE))</f>
        <v/>
      </c>
      <c r="F32" s="42">
        <f>IF($C$32="","",VLOOKUP($C$32,drama_angle_map!$A$5:$H$104,8,FALSE))</f>
        <v/>
      </c>
      <c r="G32" s="42">
        <f>IF($C$32="","",VLOOKUP($C$32,topic_clusters!$A$5:$J$104,6,FALSE))</f>
        <v/>
      </c>
      <c r="H32" s="42" t="n"/>
      <c r="I32" s="42" t="n"/>
      <c r="J32" s="42" t="n"/>
      <c r="K32" s="42" t="n"/>
      <c r="L32" s="43" t="n"/>
      <c r="M32" s="54" t="n"/>
      <c r="N32" s="54" t="n"/>
      <c r="O32" s="54" t="n"/>
      <c r="P32" s="54" t="n"/>
      <c r="Q32" s="54" t="n"/>
    </row>
    <row r="33">
      <c r="A33" s="41" t="n"/>
      <c r="B33" s="62" t="n"/>
      <c r="C33" s="42" t="n"/>
      <c r="D33" s="42">
        <f>IF($C$33="","",IF($F$33&gt;=70,"High",IF($F$33&gt;=58,"Watch","Risk/Low")))</f>
        <v/>
      </c>
      <c r="E33" s="42">
        <f>IF($C$33="","",VLOOKUP($C$33,drama_angle_map!$A$5:$H$104,2,FALSE))</f>
        <v/>
      </c>
      <c r="F33" s="42">
        <f>IF($C$33="","",VLOOKUP($C$33,drama_angle_map!$A$5:$H$104,8,FALSE))</f>
        <v/>
      </c>
      <c r="G33" s="42">
        <f>IF($C$33="","",VLOOKUP($C$33,topic_clusters!$A$5:$J$104,6,FALSE))</f>
        <v/>
      </c>
      <c r="H33" s="42" t="n"/>
      <c r="I33" s="42" t="n"/>
      <c r="J33" s="42" t="n"/>
      <c r="K33" s="42" t="n"/>
      <c r="L33" s="43" t="n"/>
      <c r="M33" s="54" t="n"/>
      <c r="N33" s="54" t="n"/>
      <c r="O33" s="54" t="n"/>
      <c r="P33" s="54" t="n"/>
      <c r="Q33" s="54" t="n"/>
    </row>
    <row r="34">
      <c r="A34" s="41" t="n"/>
      <c r="B34" s="62" t="n"/>
      <c r="C34" s="42" t="n"/>
      <c r="D34" s="42">
        <f>IF($C$34="","",IF($F$34&gt;=70,"High",IF($F$34&gt;=58,"Watch","Risk/Low")))</f>
        <v/>
      </c>
      <c r="E34" s="42">
        <f>IF($C$34="","",VLOOKUP($C$34,drama_angle_map!$A$5:$H$104,2,FALSE))</f>
        <v/>
      </c>
      <c r="F34" s="42">
        <f>IF($C$34="","",VLOOKUP($C$34,drama_angle_map!$A$5:$H$104,8,FALSE))</f>
        <v/>
      </c>
      <c r="G34" s="42">
        <f>IF($C$34="","",VLOOKUP($C$34,topic_clusters!$A$5:$J$104,6,FALSE))</f>
        <v/>
      </c>
      <c r="H34" s="42" t="n"/>
      <c r="I34" s="42" t="n"/>
      <c r="J34" s="42" t="n"/>
      <c r="K34" s="42" t="n"/>
      <c r="L34" s="43" t="n"/>
      <c r="M34" s="54" t="n"/>
      <c r="N34" s="54" t="n"/>
      <c r="O34" s="54" t="n"/>
      <c r="P34" s="54" t="n"/>
      <c r="Q34" s="54" t="n"/>
    </row>
    <row r="35">
      <c r="A35" s="41" t="n"/>
      <c r="B35" s="62" t="n"/>
      <c r="C35" s="42" t="n"/>
      <c r="D35" s="42">
        <f>IF($C$35="","",IF($F$35&gt;=70,"High",IF($F$35&gt;=58,"Watch","Risk/Low")))</f>
        <v/>
      </c>
      <c r="E35" s="42">
        <f>IF($C$35="","",VLOOKUP($C$35,drama_angle_map!$A$5:$H$104,2,FALSE))</f>
        <v/>
      </c>
      <c r="F35" s="42">
        <f>IF($C$35="","",VLOOKUP($C$35,drama_angle_map!$A$5:$H$104,8,FALSE))</f>
        <v/>
      </c>
      <c r="G35" s="42">
        <f>IF($C$35="","",VLOOKUP($C$35,topic_clusters!$A$5:$J$104,6,FALSE))</f>
        <v/>
      </c>
      <c r="H35" s="42" t="n"/>
      <c r="I35" s="42" t="n"/>
      <c r="J35" s="42" t="n"/>
      <c r="K35" s="42" t="n"/>
      <c r="L35" s="43" t="n"/>
      <c r="M35" s="54" t="n"/>
      <c r="N35" s="54" t="n"/>
      <c r="O35" s="54" t="n"/>
      <c r="P35" s="54" t="n"/>
      <c r="Q35" s="54" t="n"/>
    </row>
    <row r="36">
      <c r="A36" s="41" t="n"/>
      <c r="B36" s="62" t="n"/>
      <c r="C36" s="42" t="n"/>
      <c r="D36" s="42">
        <f>IF($C$36="","",IF($F$36&gt;=70,"High",IF($F$36&gt;=58,"Watch","Risk/Low")))</f>
        <v/>
      </c>
      <c r="E36" s="42">
        <f>IF($C$36="","",VLOOKUP($C$36,drama_angle_map!$A$5:$H$104,2,FALSE))</f>
        <v/>
      </c>
      <c r="F36" s="42">
        <f>IF($C$36="","",VLOOKUP($C$36,drama_angle_map!$A$5:$H$104,8,FALSE))</f>
        <v/>
      </c>
      <c r="G36" s="42">
        <f>IF($C$36="","",VLOOKUP($C$36,topic_clusters!$A$5:$J$104,6,FALSE))</f>
        <v/>
      </c>
      <c r="H36" s="42" t="n"/>
      <c r="I36" s="42" t="n"/>
      <c r="J36" s="42" t="n"/>
      <c r="K36" s="42" t="n"/>
      <c r="L36" s="43" t="n"/>
      <c r="M36" s="54" t="n"/>
      <c r="N36" s="54" t="n"/>
      <c r="O36" s="54" t="n"/>
      <c r="P36" s="54" t="n"/>
      <c r="Q36" s="54" t="n"/>
    </row>
    <row r="37">
      <c r="A37" s="41" t="n"/>
      <c r="B37" s="62" t="n"/>
      <c r="C37" s="42" t="n"/>
      <c r="D37" s="42">
        <f>IF($C$37="","",IF($F$37&gt;=70,"High",IF($F$37&gt;=58,"Watch","Risk/Low")))</f>
        <v/>
      </c>
      <c r="E37" s="42">
        <f>IF($C$37="","",VLOOKUP($C$37,drama_angle_map!$A$5:$H$104,2,FALSE))</f>
        <v/>
      </c>
      <c r="F37" s="42">
        <f>IF($C$37="","",VLOOKUP($C$37,drama_angle_map!$A$5:$H$104,8,FALSE))</f>
        <v/>
      </c>
      <c r="G37" s="42">
        <f>IF($C$37="","",VLOOKUP($C$37,topic_clusters!$A$5:$J$104,6,FALSE))</f>
        <v/>
      </c>
      <c r="H37" s="42" t="n"/>
      <c r="I37" s="42" t="n"/>
      <c r="J37" s="42" t="n"/>
      <c r="K37" s="42" t="n"/>
      <c r="L37" s="43" t="n"/>
      <c r="M37" s="54" t="n"/>
      <c r="N37" s="54" t="n"/>
      <c r="O37" s="54" t="n"/>
      <c r="P37" s="54" t="n"/>
      <c r="Q37" s="54" t="n"/>
    </row>
    <row r="38">
      <c r="A38" s="41" t="n"/>
      <c r="B38" s="62" t="n"/>
      <c r="C38" s="42" t="n"/>
      <c r="D38" s="42">
        <f>IF($C$38="","",IF($F$38&gt;=70,"High",IF($F$38&gt;=58,"Watch","Risk/Low")))</f>
        <v/>
      </c>
      <c r="E38" s="42">
        <f>IF($C$38="","",VLOOKUP($C$38,drama_angle_map!$A$5:$H$104,2,FALSE))</f>
        <v/>
      </c>
      <c r="F38" s="42">
        <f>IF($C$38="","",VLOOKUP($C$38,drama_angle_map!$A$5:$H$104,8,FALSE))</f>
        <v/>
      </c>
      <c r="G38" s="42">
        <f>IF($C$38="","",VLOOKUP($C$38,topic_clusters!$A$5:$J$104,6,FALSE))</f>
        <v/>
      </c>
      <c r="H38" s="42" t="n"/>
      <c r="I38" s="42" t="n"/>
      <c r="J38" s="42" t="n"/>
      <c r="K38" s="42" t="n"/>
      <c r="L38" s="43" t="n"/>
      <c r="M38" s="54" t="n"/>
      <c r="N38" s="54" t="n"/>
      <c r="O38" s="54" t="n"/>
      <c r="P38" s="54" t="n"/>
      <c r="Q38" s="54" t="n"/>
    </row>
    <row r="39">
      <c r="A39" s="41" t="n"/>
      <c r="B39" s="62" t="n"/>
      <c r="C39" s="42" t="n"/>
      <c r="D39" s="42">
        <f>IF($C$39="","",IF($F$39&gt;=70,"High",IF($F$39&gt;=58,"Watch","Risk/Low")))</f>
        <v/>
      </c>
      <c r="E39" s="42">
        <f>IF($C$39="","",VLOOKUP($C$39,drama_angle_map!$A$5:$H$104,2,FALSE))</f>
        <v/>
      </c>
      <c r="F39" s="42">
        <f>IF($C$39="","",VLOOKUP($C$39,drama_angle_map!$A$5:$H$104,8,FALSE))</f>
        <v/>
      </c>
      <c r="G39" s="42">
        <f>IF($C$39="","",VLOOKUP($C$39,topic_clusters!$A$5:$J$104,6,FALSE))</f>
        <v/>
      </c>
      <c r="H39" s="42" t="n"/>
      <c r="I39" s="42" t="n"/>
      <c r="J39" s="42" t="n"/>
      <c r="K39" s="42" t="n"/>
      <c r="L39" s="43" t="n"/>
      <c r="M39" s="54" t="n"/>
      <c r="N39" s="54" t="n"/>
      <c r="O39" s="54" t="n"/>
      <c r="P39" s="54" t="n"/>
      <c r="Q39" s="54" t="n"/>
    </row>
    <row r="40">
      <c r="A40" s="41" t="n"/>
      <c r="B40" s="62" t="n"/>
      <c r="C40" s="42" t="n"/>
      <c r="D40" s="42">
        <f>IF($C$40="","",IF($F$40&gt;=70,"High",IF($F$40&gt;=58,"Watch","Risk/Low")))</f>
        <v/>
      </c>
      <c r="E40" s="42">
        <f>IF($C$40="","",VLOOKUP($C$40,drama_angle_map!$A$5:$H$104,2,FALSE))</f>
        <v/>
      </c>
      <c r="F40" s="42">
        <f>IF($C$40="","",VLOOKUP($C$40,drama_angle_map!$A$5:$H$104,8,FALSE))</f>
        <v/>
      </c>
      <c r="G40" s="42">
        <f>IF($C$40="","",VLOOKUP($C$40,topic_clusters!$A$5:$J$104,6,FALSE))</f>
        <v/>
      </c>
      <c r="H40" s="42" t="n"/>
      <c r="I40" s="42" t="n"/>
      <c r="J40" s="42" t="n"/>
      <c r="K40" s="42" t="n"/>
      <c r="L40" s="43" t="n"/>
      <c r="M40" s="54" t="n"/>
      <c r="N40" s="54" t="n"/>
      <c r="O40" s="54" t="n"/>
      <c r="P40" s="54" t="n"/>
      <c r="Q40" s="54" t="n"/>
    </row>
    <row r="41">
      <c r="A41" s="41" t="n"/>
      <c r="B41" s="62" t="n"/>
      <c r="C41" s="42" t="n"/>
      <c r="D41" s="42">
        <f>IF($C$41="","",IF($F$41&gt;=70,"High",IF($F$41&gt;=58,"Watch","Risk/Low")))</f>
        <v/>
      </c>
      <c r="E41" s="42">
        <f>IF($C$41="","",VLOOKUP($C$41,drama_angle_map!$A$5:$H$104,2,FALSE))</f>
        <v/>
      </c>
      <c r="F41" s="42">
        <f>IF($C$41="","",VLOOKUP($C$41,drama_angle_map!$A$5:$H$104,8,FALSE))</f>
        <v/>
      </c>
      <c r="G41" s="42">
        <f>IF($C$41="","",VLOOKUP($C$41,topic_clusters!$A$5:$J$104,6,FALSE))</f>
        <v/>
      </c>
      <c r="H41" s="42" t="n"/>
      <c r="I41" s="42" t="n"/>
      <c r="J41" s="42" t="n"/>
      <c r="K41" s="42" t="n"/>
      <c r="L41" s="43" t="n"/>
      <c r="M41" s="54" t="n"/>
      <c r="N41" s="54" t="n"/>
      <c r="O41" s="54" t="n"/>
      <c r="P41" s="54" t="n"/>
      <c r="Q41" s="54" t="n"/>
    </row>
    <row r="42">
      <c r="A42" s="41" t="n"/>
      <c r="B42" s="62" t="n"/>
      <c r="C42" s="42" t="n"/>
      <c r="D42" s="42">
        <f>IF($C$42="","",IF($F$42&gt;=70,"High",IF($F$42&gt;=58,"Watch","Risk/Low")))</f>
        <v/>
      </c>
      <c r="E42" s="42">
        <f>IF($C$42="","",VLOOKUP($C$42,drama_angle_map!$A$5:$H$104,2,FALSE))</f>
        <v/>
      </c>
      <c r="F42" s="42">
        <f>IF($C$42="","",VLOOKUP($C$42,drama_angle_map!$A$5:$H$104,8,FALSE))</f>
        <v/>
      </c>
      <c r="G42" s="42">
        <f>IF($C$42="","",VLOOKUP($C$42,topic_clusters!$A$5:$J$104,6,FALSE))</f>
        <v/>
      </c>
      <c r="H42" s="42" t="n"/>
      <c r="I42" s="42" t="n"/>
      <c r="J42" s="42" t="n"/>
      <c r="K42" s="42" t="n"/>
      <c r="L42" s="43" t="n"/>
      <c r="M42" s="54" t="n"/>
      <c r="N42" s="54" t="n"/>
      <c r="O42" s="54" t="n"/>
      <c r="P42" s="54" t="n"/>
      <c r="Q42" s="54" t="n"/>
    </row>
    <row r="43">
      <c r="A43" s="41" t="n"/>
      <c r="B43" s="62" t="n"/>
      <c r="C43" s="42" t="n"/>
      <c r="D43" s="42">
        <f>IF($C$43="","",IF($F$43&gt;=70,"High",IF($F$43&gt;=58,"Watch","Risk/Low")))</f>
        <v/>
      </c>
      <c r="E43" s="42">
        <f>IF($C$43="","",VLOOKUP($C$43,drama_angle_map!$A$5:$H$104,2,FALSE))</f>
        <v/>
      </c>
      <c r="F43" s="42">
        <f>IF($C$43="","",VLOOKUP($C$43,drama_angle_map!$A$5:$H$104,8,FALSE))</f>
        <v/>
      </c>
      <c r="G43" s="42">
        <f>IF($C$43="","",VLOOKUP($C$43,topic_clusters!$A$5:$J$104,6,FALSE))</f>
        <v/>
      </c>
      <c r="H43" s="42" t="n"/>
      <c r="I43" s="42" t="n"/>
      <c r="J43" s="42" t="n"/>
      <c r="K43" s="42" t="n"/>
      <c r="L43" s="43" t="n"/>
      <c r="M43" s="54" t="n"/>
      <c r="N43" s="54" t="n"/>
      <c r="O43" s="54" t="n"/>
      <c r="P43" s="54" t="n"/>
      <c r="Q43" s="54" t="n"/>
    </row>
    <row r="44">
      <c r="A44" s="41" t="n"/>
      <c r="B44" s="62" t="n"/>
      <c r="C44" s="42" t="n"/>
      <c r="D44" s="42">
        <f>IF($C$44="","",IF($F$44&gt;=70,"High",IF($F$44&gt;=58,"Watch","Risk/Low")))</f>
        <v/>
      </c>
      <c r="E44" s="42">
        <f>IF($C$44="","",VLOOKUP($C$44,drama_angle_map!$A$5:$H$104,2,FALSE))</f>
        <v/>
      </c>
      <c r="F44" s="42">
        <f>IF($C$44="","",VLOOKUP($C$44,drama_angle_map!$A$5:$H$104,8,FALSE))</f>
        <v/>
      </c>
      <c r="G44" s="42">
        <f>IF($C$44="","",VLOOKUP($C$44,topic_clusters!$A$5:$J$104,6,FALSE))</f>
        <v/>
      </c>
      <c r="H44" s="42" t="n"/>
      <c r="I44" s="42" t="n"/>
      <c r="J44" s="42" t="n"/>
      <c r="K44" s="42" t="n"/>
      <c r="L44" s="43" t="n"/>
      <c r="M44" s="54" t="n"/>
      <c r="N44" s="54" t="n"/>
      <c r="O44" s="54" t="n"/>
      <c r="P44" s="54" t="n"/>
      <c r="Q44" s="54" t="n"/>
    </row>
    <row r="45">
      <c r="A45" s="41" t="n"/>
      <c r="B45" s="62" t="n"/>
      <c r="C45" s="42" t="n"/>
      <c r="D45" s="42">
        <f>IF($C$45="","",IF($F$45&gt;=70,"High",IF($F$45&gt;=58,"Watch","Risk/Low")))</f>
        <v/>
      </c>
      <c r="E45" s="42">
        <f>IF($C$45="","",VLOOKUP($C$45,drama_angle_map!$A$5:$H$104,2,FALSE))</f>
        <v/>
      </c>
      <c r="F45" s="42">
        <f>IF($C$45="","",VLOOKUP($C$45,drama_angle_map!$A$5:$H$104,8,FALSE))</f>
        <v/>
      </c>
      <c r="G45" s="42">
        <f>IF($C$45="","",VLOOKUP($C$45,topic_clusters!$A$5:$J$104,6,FALSE))</f>
        <v/>
      </c>
      <c r="H45" s="42" t="n"/>
      <c r="I45" s="42" t="n"/>
      <c r="J45" s="42" t="n"/>
      <c r="K45" s="42" t="n"/>
      <c r="L45" s="43" t="n"/>
      <c r="M45" s="54" t="n"/>
      <c r="N45" s="54" t="n"/>
      <c r="O45" s="54" t="n"/>
      <c r="P45" s="54" t="n"/>
      <c r="Q45" s="54" t="n"/>
    </row>
    <row r="46">
      <c r="A46" s="41" t="n"/>
      <c r="B46" s="62" t="n"/>
      <c r="C46" s="42" t="n"/>
      <c r="D46" s="42">
        <f>IF($C$46="","",IF($F$46&gt;=70,"High",IF($F$46&gt;=58,"Watch","Risk/Low")))</f>
        <v/>
      </c>
      <c r="E46" s="42">
        <f>IF($C$46="","",VLOOKUP($C$46,drama_angle_map!$A$5:$H$104,2,FALSE))</f>
        <v/>
      </c>
      <c r="F46" s="42">
        <f>IF($C$46="","",VLOOKUP($C$46,drama_angle_map!$A$5:$H$104,8,FALSE))</f>
        <v/>
      </c>
      <c r="G46" s="42">
        <f>IF($C$46="","",VLOOKUP($C$46,topic_clusters!$A$5:$J$104,6,FALSE))</f>
        <v/>
      </c>
      <c r="H46" s="42" t="n"/>
      <c r="I46" s="42" t="n"/>
      <c r="J46" s="42" t="n"/>
      <c r="K46" s="42" t="n"/>
      <c r="L46" s="43" t="n"/>
      <c r="M46" s="54" t="n"/>
      <c r="N46" s="54" t="n"/>
      <c r="O46" s="54" t="n"/>
      <c r="P46" s="54" t="n"/>
      <c r="Q46" s="54" t="n"/>
    </row>
    <row r="47">
      <c r="A47" s="41" t="n"/>
      <c r="B47" s="62" t="n"/>
      <c r="C47" s="42" t="n"/>
      <c r="D47" s="42">
        <f>IF($C$47="","",IF($F$47&gt;=70,"High",IF($F$47&gt;=58,"Watch","Risk/Low")))</f>
        <v/>
      </c>
      <c r="E47" s="42">
        <f>IF($C$47="","",VLOOKUP($C$47,drama_angle_map!$A$5:$H$104,2,FALSE))</f>
        <v/>
      </c>
      <c r="F47" s="42">
        <f>IF($C$47="","",VLOOKUP($C$47,drama_angle_map!$A$5:$H$104,8,FALSE))</f>
        <v/>
      </c>
      <c r="G47" s="42">
        <f>IF($C$47="","",VLOOKUP($C$47,topic_clusters!$A$5:$J$104,6,FALSE))</f>
        <v/>
      </c>
      <c r="H47" s="42" t="n"/>
      <c r="I47" s="42" t="n"/>
      <c r="J47" s="42" t="n"/>
      <c r="K47" s="42" t="n"/>
      <c r="L47" s="43" t="n"/>
      <c r="M47" s="54" t="n"/>
      <c r="N47" s="54" t="n"/>
      <c r="O47" s="54" t="n"/>
      <c r="P47" s="54" t="n"/>
      <c r="Q47" s="54" t="n"/>
    </row>
    <row r="48">
      <c r="A48" s="41" t="n"/>
      <c r="B48" s="62" t="n"/>
      <c r="C48" s="42" t="n"/>
      <c r="D48" s="42">
        <f>IF($C$48="","",IF($F$48&gt;=70,"High",IF($F$48&gt;=58,"Watch","Risk/Low")))</f>
        <v/>
      </c>
      <c r="E48" s="42">
        <f>IF($C$48="","",VLOOKUP($C$48,drama_angle_map!$A$5:$H$104,2,FALSE))</f>
        <v/>
      </c>
      <c r="F48" s="42">
        <f>IF($C$48="","",VLOOKUP($C$48,drama_angle_map!$A$5:$H$104,8,FALSE))</f>
        <v/>
      </c>
      <c r="G48" s="42">
        <f>IF($C$48="","",VLOOKUP($C$48,topic_clusters!$A$5:$J$104,6,FALSE))</f>
        <v/>
      </c>
      <c r="H48" s="42" t="n"/>
      <c r="I48" s="42" t="n"/>
      <c r="J48" s="42" t="n"/>
      <c r="K48" s="42" t="n"/>
      <c r="L48" s="43" t="n"/>
      <c r="M48" s="54" t="n"/>
      <c r="N48" s="54" t="n"/>
      <c r="O48" s="54" t="n"/>
      <c r="P48" s="54" t="n"/>
      <c r="Q48" s="54" t="n"/>
    </row>
    <row r="49">
      <c r="A49" s="41" t="n"/>
      <c r="B49" s="62" t="n"/>
      <c r="C49" s="42" t="n"/>
      <c r="D49" s="42">
        <f>IF($C$49="","",IF($F$49&gt;=70,"High",IF($F$49&gt;=58,"Watch","Risk/Low")))</f>
        <v/>
      </c>
      <c r="E49" s="42">
        <f>IF($C$49="","",VLOOKUP($C$49,drama_angle_map!$A$5:$H$104,2,FALSE))</f>
        <v/>
      </c>
      <c r="F49" s="42">
        <f>IF($C$49="","",VLOOKUP($C$49,drama_angle_map!$A$5:$H$104,8,FALSE))</f>
        <v/>
      </c>
      <c r="G49" s="42">
        <f>IF($C$49="","",VLOOKUP($C$49,topic_clusters!$A$5:$J$104,6,FALSE))</f>
        <v/>
      </c>
      <c r="H49" s="42" t="n"/>
      <c r="I49" s="42" t="n"/>
      <c r="J49" s="42" t="n"/>
      <c r="K49" s="42" t="n"/>
      <c r="L49" s="43" t="n"/>
      <c r="M49" s="54" t="n"/>
      <c r="N49" s="54" t="n"/>
      <c r="O49" s="54" t="n"/>
      <c r="P49" s="54" t="n"/>
      <c r="Q49" s="54" t="n"/>
    </row>
    <row r="50">
      <c r="A50" s="41" t="n"/>
      <c r="B50" s="62" t="n"/>
      <c r="C50" s="42" t="n"/>
      <c r="D50" s="42">
        <f>IF($C$50="","",IF($F$50&gt;=70,"High",IF($F$50&gt;=58,"Watch","Risk/Low")))</f>
        <v/>
      </c>
      <c r="E50" s="42">
        <f>IF($C$50="","",VLOOKUP($C$50,drama_angle_map!$A$5:$H$104,2,FALSE))</f>
        <v/>
      </c>
      <c r="F50" s="42">
        <f>IF($C$50="","",VLOOKUP($C$50,drama_angle_map!$A$5:$H$104,8,FALSE))</f>
        <v/>
      </c>
      <c r="G50" s="42">
        <f>IF($C$50="","",VLOOKUP($C$50,topic_clusters!$A$5:$J$104,6,FALSE))</f>
        <v/>
      </c>
      <c r="H50" s="42" t="n"/>
      <c r="I50" s="42" t="n"/>
      <c r="J50" s="42" t="n"/>
      <c r="K50" s="42" t="n"/>
      <c r="L50" s="43" t="n"/>
      <c r="M50" s="54" t="n"/>
      <c r="N50" s="54" t="n"/>
      <c r="O50" s="54" t="n"/>
      <c r="P50" s="54" t="n"/>
      <c r="Q50" s="54" t="n"/>
    </row>
    <row r="51">
      <c r="A51" s="41" t="n"/>
      <c r="B51" s="62" t="n"/>
      <c r="C51" s="42" t="n"/>
      <c r="D51" s="42">
        <f>IF($C$51="","",IF($F$51&gt;=70,"High",IF($F$51&gt;=58,"Watch","Risk/Low")))</f>
        <v/>
      </c>
      <c r="E51" s="42">
        <f>IF($C$51="","",VLOOKUP($C$51,drama_angle_map!$A$5:$H$104,2,FALSE))</f>
        <v/>
      </c>
      <c r="F51" s="42">
        <f>IF($C$51="","",VLOOKUP($C$51,drama_angle_map!$A$5:$H$104,8,FALSE))</f>
        <v/>
      </c>
      <c r="G51" s="42">
        <f>IF($C$51="","",VLOOKUP($C$51,topic_clusters!$A$5:$J$104,6,FALSE))</f>
        <v/>
      </c>
      <c r="H51" s="42" t="n"/>
      <c r="I51" s="42" t="n"/>
      <c r="J51" s="42" t="n"/>
      <c r="K51" s="42" t="n"/>
      <c r="L51" s="43" t="n"/>
      <c r="M51" s="54" t="n"/>
      <c r="N51" s="54" t="n"/>
      <c r="O51" s="54" t="n"/>
      <c r="P51" s="54" t="n"/>
      <c r="Q51" s="54" t="n"/>
    </row>
    <row r="52">
      <c r="A52" s="41" t="n"/>
      <c r="B52" s="62" t="n"/>
      <c r="C52" s="42" t="n"/>
      <c r="D52" s="42">
        <f>IF($C$52="","",IF($F$52&gt;=70,"High",IF($F$52&gt;=58,"Watch","Risk/Low")))</f>
        <v/>
      </c>
      <c r="E52" s="42">
        <f>IF($C$52="","",VLOOKUP($C$52,drama_angle_map!$A$5:$H$104,2,FALSE))</f>
        <v/>
      </c>
      <c r="F52" s="42">
        <f>IF($C$52="","",VLOOKUP($C$52,drama_angle_map!$A$5:$H$104,8,FALSE))</f>
        <v/>
      </c>
      <c r="G52" s="42">
        <f>IF($C$52="","",VLOOKUP($C$52,topic_clusters!$A$5:$J$104,6,FALSE))</f>
        <v/>
      </c>
      <c r="H52" s="42" t="n"/>
      <c r="I52" s="42" t="n"/>
      <c r="J52" s="42" t="n"/>
      <c r="K52" s="42" t="n"/>
      <c r="L52" s="43" t="n"/>
      <c r="M52" s="54" t="n"/>
      <c r="N52" s="54" t="n"/>
      <c r="O52" s="54" t="n"/>
      <c r="P52" s="54" t="n"/>
      <c r="Q52" s="54" t="n"/>
    </row>
    <row r="53">
      <c r="A53" s="41" t="n"/>
      <c r="B53" s="62" t="n"/>
      <c r="C53" s="42" t="n"/>
      <c r="D53" s="42">
        <f>IF($C$53="","",IF($F$53&gt;=70,"High",IF($F$53&gt;=58,"Watch","Risk/Low")))</f>
        <v/>
      </c>
      <c r="E53" s="42">
        <f>IF($C$53="","",VLOOKUP($C$53,drama_angle_map!$A$5:$H$104,2,FALSE))</f>
        <v/>
      </c>
      <c r="F53" s="42">
        <f>IF($C$53="","",VLOOKUP($C$53,drama_angle_map!$A$5:$H$104,8,FALSE))</f>
        <v/>
      </c>
      <c r="G53" s="42">
        <f>IF($C$53="","",VLOOKUP($C$53,topic_clusters!$A$5:$J$104,6,FALSE))</f>
        <v/>
      </c>
      <c r="H53" s="42" t="n"/>
      <c r="I53" s="42" t="n"/>
      <c r="J53" s="42" t="n"/>
      <c r="K53" s="42" t="n"/>
      <c r="L53" s="43" t="n"/>
      <c r="M53" s="54" t="n"/>
      <c r="N53" s="54" t="n"/>
      <c r="O53" s="54" t="n"/>
      <c r="P53" s="54" t="n"/>
      <c r="Q53" s="54" t="n"/>
    </row>
    <row r="54">
      <c r="A54" s="41" t="n"/>
      <c r="B54" s="62" t="n"/>
      <c r="C54" s="42" t="n"/>
      <c r="D54" s="42">
        <f>IF($C$54="","",IF($F$54&gt;=70,"High",IF($F$54&gt;=58,"Watch","Risk/Low")))</f>
        <v/>
      </c>
      <c r="E54" s="42">
        <f>IF($C$54="","",VLOOKUP($C$54,drama_angle_map!$A$5:$H$104,2,FALSE))</f>
        <v/>
      </c>
      <c r="F54" s="42">
        <f>IF($C$54="","",VLOOKUP($C$54,drama_angle_map!$A$5:$H$104,8,FALSE))</f>
        <v/>
      </c>
      <c r="G54" s="42">
        <f>IF($C$54="","",VLOOKUP($C$54,topic_clusters!$A$5:$J$104,6,FALSE))</f>
        <v/>
      </c>
      <c r="H54" s="42" t="n"/>
      <c r="I54" s="42" t="n"/>
      <c r="J54" s="42" t="n"/>
      <c r="K54" s="42" t="n"/>
      <c r="L54" s="43" t="n"/>
      <c r="M54" s="54" t="n"/>
      <c r="N54" s="54" t="n"/>
      <c r="O54" s="54" t="n"/>
      <c r="P54" s="54" t="n"/>
      <c r="Q54" s="54" t="n"/>
    </row>
    <row r="55">
      <c r="A55" s="41" t="n"/>
      <c r="B55" s="62" t="n"/>
      <c r="C55" s="42" t="n"/>
      <c r="D55" s="42">
        <f>IF($C$55="","",IF($F$55&gt;=70,"High",IF($F$55&gt;=58,"Watch","Risk/Low")))</f>
        <v/>
      </c>
      <c r="E55" s="42">
        <f>IF($C$55="","",VLOOKUP($C$55,drama_angle_map!$A$5:$H$104,2,FALSE))</f>
        <v/>
      </c>
      <c r="F55" s="42">
        <f>IF($C$55="","",VLOOKUP($C$55,drama_angle_map!$A$5:$H$104,8,FALSE))</f>
        <v/>
      </c>
      <c r="G55" s="42">
        <f>IF($C$55="","",VLOOKUP($C$55,topic_clusters!$A$5:$J$104,6,FALSE))</f>
        <v/>
      </c>
      <c r="H55" s="42" t="n"/>
      <c r="I55" s="42" t="n"/>
      <c r="J55" s="42" t="n"/>
      <c r="K55" s="42" t="n"/>
      <c r="L55" s="43" t="n"/>
      <c r="M55" s="54" t="n"/>
      <c r="N55" s="54" t="n"/>
      <c r="O55" s="54" t="n"/>
      <c r="P55" s="54" t="n"/>
      <c r="Q55" s="54" t="n"/>
    </row>
    <row r="56">
      <c r="A56" s="41" t="n"/>
      <c r="B56" s="62" t="n"/>
      <c r="C56" s="42" t="n"/>
      <c r="D56" s="42">
        <f>IF($C$56="","",IF($F$56&gt;=70,"High",IF($F$56&gt;=58,"Watch","Risk/Low")))</f>
        <v/>
      </c>
      <c r="E56" s="42">
        <f>IF($C$56="","",VLOOKUP($C$56,drama_angle_map!$A$5:$H$104,2,FALSE))</f>
        <v/>
      </c>
      <c r="F56" s="42">
        <f>IF($C$56="","",VLOOKUP($C$56,drama_angle_map!$A$5:$H$104,8,FALSE))</f>
        <v/>
      </c>
      <c r="G56" s="42">
        <f>IF($C$56="","",VLOOKUP($C$56,topic_clusters!$A$5:$J$104,6,FALSE))</f>
        <v/>
      </c>
      <c r="H56" s="42" t="n"/>
      <c r="I56" s="42" t="n"/>
      <c r="J56" s="42" t="n"/>
      <c r="K56" s="42" t="n"/>
      <c r="L56" s="43" t="n"/>
      <c r="M56" s="54" t="n"/>
      <c r="N56" s="54" t="n"/>
      <c r="O56" s="54" t="n"/>
      <c r="P56" s="54" t="n"/>
      <c r="Q56" s="54" t="n"/>
    </row>
    <row r="57">
      <c r="A57" s="41" t="n"/>
      <c r="B57" s="62" t="n"/>
      <c r="C57" s="42" t="n"/>
      <c r="D57" s="42">
        <f>IF($C$57="","",IF($F$57&gt;=70,"High",IF($F$57&gt;=58,"Watch","Risk/Low")))</f>
        <v/>
      </c>
      <c r="E57" s="42">
        <f>IF($C$57="","",VLOOKUP($C$57,drama_angle_map!$A$5:$H$104,2,FALSE))</f>
        <v/>
      </c>
      <c r="F57" s="42">
        <f>IF($C$57="","",VLOOKUP($C$57,drama_angle_map!$A$5:$H$104,8,FALSE))</f>
        <v/>
      </c>
      <c r="G57" s="42">
        <f>IF($C$57="","",VLOOKUP($C$57,topic_clusters!$A$5:$J$104,6,FALSE))</f>
        <v/>
      </c>
      <c r="H57" s="42" t="n"/>
      <c r="I57" s="42" t="n"/>
      <c r="J57" s="42" t="n"/>
      <c r="K57" s="42" t="n"/>
      <c r="L57" s="43" t="n"/>
      <c r="M57" s="54" t="n"/>
      <c r="N57" s="54" t="n"/>
      <c r="O57" s="54" t="n"/>
      <c r="P57" s="54" t="n"/>
      <c r="Q57" s="54" t="n"/>
    </row>
    <row r="58">
      <c r="A58" s="41" t="n"/>
      <c r="B58" s="62" t="n"/>
      <c r="C58" s="42" t="n"/>
      <c r="D58" s="42">
        <f>IF($C$58="","",IF($F$58&gt;=70,"High",IF($F$58&gt;=58,"Watch","Risk/Low")))</f>
        <v/>
      </c>
      <c r="E58" s="42">
        <f>IF($C$58="","",VLOOKUP($C$58,drama_angle_map!$A$5:$H$104,2,FALSE))</f>
        <v/>
      </c>
      <c r="F58" s="42">
        <f>IF($C$58="","",VLOOKUP($C$58,drama_angle_map!$A$5:$H$104,8,FALSE))</f>
        <v/>
      </c>
      <c r="G58" s="42">
        <f>IF($C$58="","",VLOOKUP($C$58,topic_clusters!$A$5:$J$104,6,FALSE))</f>
        <v/>
      </c>
      <c r="H58" s="42" t="n"/>
      <c r="I58" s="42" t="n"/>
      <c r="J58" s="42" t="n"/>
      <c r="K58" s="42" t="n"/>
      <c r="L58" s="43" t="n"/>
      <c r="M58" s="54" t="n"/>
      <c r="N58" s="54" t="n"/>
      <c r="O58" s="54" t="n"/>
      <c r="P58" s="54" t="n"/>
      <c r="Q58" s="54" t="n"/>
    </row>
    <row r="59">
      <c r="A59" s="41" t="n"/>
      <c r="B59" s="62" t="n"/>
      <c r="C59" s="42" t="n"/>
      <c r="D59" s="42">
        <f>IF($C$59="","",IF($F$59&gt;=70,"High",IF($F$59&gt;=58,"Watch","Risk/Low")))</f>
        <v/>
      </c>
      <c r="E59" s="42">
        <f>IF($C$59="","",VLOOKUP($C$59,drama_angle_map!$A$5:$H$104,2,FALSE))</f>
        <v/>
      </c>
      <c r="F59" s="42">
        <f>IF($C$59="","",VLOOKUP($C$59,drama_angle_map!$A$5:$H$104,8,FALSE))</f>
        <v/>
      </c>
      <c r="G59" s="42">
        <f>IF($C$59="","",VLOOKUP($C$59,topic_clusters!$A$5:$J$104,6,FALSE))</f>
        <v/>
      </c>
      <c r="H59" s="42" t="n"/>
      <c r="I59" s="42" t="n"/>
      <c r="J59" s="42" t="n"/>
      <c r="K59" s="42" t="n"/>
      <c r="L59" s="43" t="n"/>
      <c r="M59" s="54" t="n"/>
      <c r="N59" s="54" t="n"/>
      <c r="O59" s="54" t="n"/>
      <c r="P59" s="54" t="n"/>
      <c r="Q59" s="54" t="n"/>
    </row>
    <row r="60">
      <c r="A60" s="41" t="n"/>
      <c r="B60" s="62" t="n"/>
      <c r="C60" s="42" t="n"/>
      <c r="D60" s="42">
        <f>IF($C$60="","",IF($F$60&gt;=70,"High",IF($F$60&gt;=58,"Watch","Risk/Low")))</f>
        <v/>
      </c>
      <c r="E60" s="42">
        <f>IF($C$60="","",VLOOKUP($C$60,drama_angle_map!$A$5:$H$104,2,FALSE))</f>
        <v/>
      </c>
      <c r="F60" s="42">
        <f>IF($C$60="","",VLOOKUP($C$60,drama_angle_map!$A$5:$H$104,8,FALSE))</f>
        <v/>
      </c>
      <c r="G60" s="42">
        <f>IF($C$60="","",VLOOKUP($C$60,topic_clusters!$A$5:$J$104,6,FALSE))</f>
        <v/>
      </c>
      <c r="H60" s="42" t="n"/>
      <c r="I60" s="42" t="n"/>
      <c r="J60" s="42" t="n"/>
      <c r="K60" s="42" t="n"/>
      <c r="L60" s="43" t="n"/>
      <c r="M60" s="54" t="n"/>
      <c r="N60" s="54" t="n"/>
      <c r="O60" s="54" t="n"/>
      <c r="P60" s="54" t="n"/>
      <c r="Q60" s="54" t="n"/>
    </row>
    <row r="61">
      <c r="A61" s="41" t="n"/>
      <c r="B61" s="62" t="n"/>
      <c r="C61" s="42" t="n"/>
      <c r="D61" s="42">
        <f>IF($C$61="","",IF($F$61&gt;=70,"High",IF($F$61&gt;=58,"Watch","Risk/Low")))</f>
        <v/>
      </c>
      <c r="E61" s="42">
        <f>IF($C$61="","",VLOOKUP($C$61,drama_angle_map!$A$5:$H$104,2,FALSE))</f>
        <v/>
      </c>
      <c r="F61" s="42">
        <f>IF($C$61="","",VLOOKUP($C$61,drama_angle_map!$A$5:$H$104,8,FALSE))</f>
        <v/>
      </c>
      <c r="G61" s="42">
        <f>IF($C$61="","",VLOOKUP($C$61,topic_clusters!$A$5:$J$104,6,FALSE))</f>
        <v/>
      </c>
      <c r="H61" s="42" t="n"/>
      <c r="I61" s="42" t="n"/>
      <c r="J61" s="42" t="n"/>
      <c r="K61" s="42" t="n"/>
      <c r="L61" s="43" t="n"/>
      <c r="M61" s="54" t="n"/>
      <c r="N61" s="54" t="n"/>
      <c r="O61" s="54" t="n"/>
      <c r="P61" s="54" t="n"/>
      <c r="Q61" s="54" t="n"/>
    </row>
    <row r="62">
      <c r="A62" s="41" t="n"/>
      <c r="B62" s="62" t="n"/>
      <c r="C62" s="42" t="n"/>
      <c r="D62" s="42">
        <f>IF($C$62="","",IF($F$62&gt;=70,"High",IF($F$62&gt;=58,"Watch","Risk/Low")))</f>
        <v/>
      </c>
      <c r="E62" s="42">
        <f>IF($C$62="","",VLOOKUP($C$62,drama_angle_map!$A$5:$H$104,2,FALSE))</f>
        <v/>
      </c>
      <c r="F62" s="42">
        <f>IF($C$62="","",VLOOKUP($C$62,drama_angle_map!$A$5:$H$104,8,FALSE))</f>
        <v/>
      </c>
      <c r="G62" s="42">
        <f>IF($C$62="","",VLOOKUP($C$62,topic_clusters!$A$5:$J$104,6,FALSE))</f>
        <v/>
      </c>
      <c r="H62" s="42" t="n"/>
      <c r="I62" s="42" t="n"/>
      <c r="J62" s="42" t="n"/>
      <c r="K62" s="42" t="n"/>
      <c r="L62" s="43" t="n"/>
      <c r="M62" s="54" t="n"/>
      <c r="N62" s="54" t="n"/>
      <c r="O62" s="54" t="n"/>
      <c r="P62" s="54" t="n"/>
      <c r="Q62" s="54" t="n"/>
    </row>
    <row r="63">
      <c r="A63" s="41" t="n"/>
      <c r="B63" s="62" t="n"/>
      <c r="C63" s="42" t="n"/>
      <c r="D63" s="42">
        <f>IF($C$63="","",IF($F$63&gt;=70,"High",IF($F$63&gt;=58,"Watch","Risk/Low")))</f>
        <v/>
      </c>
      <c r="E63" s="42">
        <f>IF($C$63="","",VLOOKUP($C$63,drama_angle_map!$A$5:$H$104,2,FALSE))</f>
        <v/>
      </c>
      <c r="F63" s="42">
        <f>IF($C$63="","",VLOOKUP($C$63,drama_angle_map!$A$5:$H$104,8,FALSE))</f>
        <v/>
      </c>
      <c r="G63" s="42">
        <f>IF($C$63="","",VLOOKUP($C$63,topic_clusters!$A$5:$J$104,6,FALSE))</f>
        <v/>
      </c>
      <c r="H63" s="42" t="n"/>
      <c r="I63" s="42" t="n"/>
      <c r="J63" s="42" t="n"/>
      <c r="K63" s="42" t="n"/>
      <c r="L63" s="43" t="n"/>
      <c r="M63" s="54" t="n"/>
      <c r="N63" s="54" t="n"/>
      <c r="O63" s="54" t="n"/>
      <c r="P63" s="54" t="n"/>
      <c r="Q63" s="54" t="n"/>
    </row>
    <row r="64">
      <c r="A64" s="41" t="n"/>
      <c r="B64" s="62" t="n"/>
      <c r="C64" s="42" t="n"/>
      <c r="D64" s="42">
        <f>IF($C$64="","",IF($F$64&gt;=70,"High",IF($F$64&gt;=58,"Watch","Risk/Low")))</f>
        <v/>
      </c>
      <c r="E64" s="42">
        <f>IF($C$64="","",VLOOKUP($C$64,drama_angle_map!$A$5:$H$104,2,FALSE))</f>
        <v/>
      </c>
      <c r="F64" s="42">
        <f>IF($C$64="","",VLOOKUP($C$64,drama_angle_map!$A$5:$H$104,8,FALSE))</f>
        <v/>
      </c>
      <c r="G64" s="42">
        <f>IF($C$64="","",VLOOKUP($C$64,topic_clusters!$A$5:$J$104,6,FALSE))</f>
        <v/>
      </c>
      <c r="H64" s="42" t="n"/>
      <c r="I64" s="42" t="n"/>
      <c r="J64" s="42" t="n"/>
      <c r="K64" s="42" t="n"/>
      <c r="L64" s="43" t="n"/>
      <c r="M64" s="54" t="n"/>
      <c r="N64" s="54" t="n"/>
      <c r="O64" s="54" t="n"/>
      <c r="P64" s="54" t="n"/>
      <c r="Q64" s="54" t="n"/>
    </row>
    <row r="65">
      <c r="A65" s="41" t="n"/>
      <c r="B65" s="62" t="n"/>
      <c r="C65" s="42" t="n"/>
      <c r="D65" s="42">
        <f>IF($C$65="","",IF($F$65&gt;=70,"High",IF($F$65&gt;=58,"Watch","Risk/Low")))</f>
        <v/>
      </c>
      <c r="E65" s="42">
        <f>IF($C$65="","",VLOOKUP($C$65,drama_angle_map!$A$5:$H$104,2,FALSE))</f>
        <v/>
      </c>
      <c r="F65" s="42">
        <f>IF($C$65="","",VLOOKUP($C$65,drama_angle_map!$A$5:$H$104,8,FALSE))</f>
        <v/>
      </c>
      <c r="G65" s="42">
        <f>IF($C$65="","",VLOOKUP($C$65,topic_clusters!$A$5:$J$104,6,FALSE))</f>
        <v/>
      </c>
      <c r="H65" s="42" t="n"/>
      <c r="I65" s="42" t="n"/>
      <c r="J65" s="42" t="n"/>
      <c r="K65" s="42" t="n"/>
      <c r="L65" s="43" t="n"/>
      <c r="M65" s="54" t="n"/>
      <c r="N65" s="54" t="n"/>
      <c r="O65" s="54" t="n"/>
      <c r="P65" s="54" t="n"/>
      <c r="Q65" s="54" t="n"/>
    </row>
    <row r="66">
      <c r="A66" s="41" t="n"/>
      <c r="B66" s="62" t="n"/>
      <c r="C66" s="42" t="n"/>
      <c r="D66" s="42">
        <f>IF($C$66="","",IF($F$66&gt;=70,"High",IF($F$66&gt;=58,"Watch","Risk/Low")))</f>
        <v/>
      </c>
      <c r="E66" s="42">
        <f>IF($C$66="","",VLOOKUP($C$66,drama_angle_map!$A$5:$H$104,2,FALSE))</f>
        <v/>
      </c>
      <c r="F66" s="42">
        <f>IF($C$66="","",VLOOKUP($C$66,drama_angle_map!$A$5:$H$104,8,FALSE))</f>
        <v/>
      </c>
      <c r="G66" s="42">
        <f>IF($C$66="","",VLOOKUP($C$66,topic_clusters!$A$5:$J$104,6,FALSE))</f>
        <v/>
      </c>
      <c r="H66" s="42" t="n"/>
      <c r="I66" s="42" t="n"/>
      <c r="J66" s="42" t="n"/>
      <c r="K66" s="42" t="n"/>
      <c r="L66" s="43" t="n"/>
      <c r="M66" s="54" t="n"/>
      <c r="N66" s="54" t="n"/>
      <c r="O66" s="54" t="n"/>
      <c r="P66" s="54" t="n"/>
      <c r="Q66" s="54" t="n"/>
    </row>
    <row r="67">
      <c r="A67" s="41" t="n"/>
      <c r="B67" s="62" t="n"/>
      <c r="C67" s="42" t="n"/>
      <c r="D67" s="42">
        <f>IF($C$67="","",IF($F$67&gt;=70,"High",IF($F$67&gt;=58,"Watch","Risk/Low")))</f>
        <v/>
      </c>
      <c r="E67" s="42">
        <f>IF($C$67="","",VLOOKUP($C$67,drama_angle_map!$A$5:$H$104,2,FALSE))</f>
        <v/>
      </c>
      <c r="F67" s="42">
        <f>IF($C$67="","",VLOOKUP($C$67,drama_angle_map!$A$5:$H$104,8,FALSE))</f>
        <v/>
      </c>
      <c r="G67" s="42">
        <f>IF($C$67="","",VLOOKUP($C$67,topic_clusters!$A$5:$J$104,6,FALSE))</f>
        <v/>
      </c>
      <c r="H67" s="42" t="n"/>
      <c r="I67" s="42" t="n"/>
      <c r="J67" s="42" t="n"/>
      <c r="K67" s="42" t="n"/>
      <c r="L67" s="43" t="n"/>
      <c r="M67" s="54" t="n"/>
      <c r="N67" s="54" t="n"/>
      <c r="O67" s="54" t="n"/>
      <c r="P67" s="54" t="n"/>
      <c r="Q67" s="54" t="n"/>
    </row>
    <row r="68">
      <c r="A68" s="41" t="n"/>
      <c r="B68" s="62" t="n"/>
      <c r="C68" s="42" t="n"/>
      <c r="D68" s="42">
        <f>IF($C$68="","",IF($F$68&gt;=70,"High",IF($F$68&gt;=58,"Watch","Risk/Low")))</f>
        <v/>
      </c>
      <c r="E68" s="42">
        <f>IF($C$68="","",VLOOKUP($C$68,drama_angle_map!$A$5:$H$104,2,FALSE))</f>
        <v/>
      </c>
      <c r="F68" s="42">
        <f>IF($C$68="","",VLOOKUP($C$68,drama_angle_map!$A$5:$H$104,8,FALSE))</f>
        <v/>
      </c>
      <c r="G68" s="42">
        <f>IF($C$68="","",VLOOKUP($C$68,topic_clusters!$A$5:$J$104,6,FALSE))</f>
        <v/>
      </c>
      <c r="H68" s="42" t="n"/>
      <c r="I68" s="42" t="n"/>
      <c r="J68" s="42" t="n"/>
      <c r="K68" s="42" t="n"/>
      <c r="L68" s="43" t="n"/>
      <c r="M68" s="54" t="n"/>
      <c r="N68" s="54" t="n"/>
      <c r="O68" s="54" t="n"/>
      <c r="P68" s="54" t="n"/>
      <c r="Q68" s="54" t="n"/>
    </row>
    <row r="69">
      <c r="A69" s="41" t="n"/>
      <c r="B69" s="62" t="n"/>
      <c r="C69" s="42" t="n"/>
      <c r="D69" s="42">
        <f>IF($C$69="","",IF($F$69&gt;=70,"High",IF($F$69&gt;=58,"Watch","Risk/Low")))</f>
        <v/>
      </c>
      <c r="E69" s="42">
        <f>IF($C$69="","",VLOOKUP($C$69,drama_angle_map!$A$5:$H$104,2,FALSE))</f>
        <v/>
      </c>
      <c r="F69" s="42">
        <f>IF($C$69="","",VLOOKUP($C$69,drama_angle_map!$A$5:$H$104,8,FALSE))</f>
        <v/>
      </c>
      <c r="G69" s="42">
        <f>IF($C$69="","",VLOOKUP($C$69,topic_clusters!$A$5:$J$104,6,FALSE))</f>
        <v/>
      </c>
      <c r="H69" s="42" t="n"/>
      <c r="I69" s="42" t="n"/>
      <c r="J69" s="42" t="n"/>
      <c r="K69" s="42" t="n"/>
      <c r="L69" s="43" t="n"/>
      <c r="M69" s="54" t="n"/>
      <c r="N69" s="54" t="n"/>
      <c r="O69" s="54" t="n"/>
      <c r="P69" s="54" t="n"/>
      <c r="Q69" s="54" t="n"/>
    </row>
    <row r="70">
      <c r="A70" s="41" t="n"/>
      <c r="B70" s="62" t="n"/>
      <c r="C70" s="42" t="n"/>
      <c r="D70" s="42">
        <f>IF($C$70="","",IF($F$70&gt;=70,"High",IF($F$70&gt;=58,"Watch","Risk/Low")))</f>
        <v/>
      </c>
      <c r="E70" s="42">
        <f>IF($C$70="","",VLOOKUP($C$70,drama_angle_map!$A$5:$H$104,2,FALSE))</f>
        <v/>
      </c>
      <c r="F70" s="42">
        <f>IF($C$70="","",VLOOKUP($C$70,drama_angle_map!$A$5:$H$104,8,FALSE))</f>
        <v/>
      </c>
      <c r="G70" s="42">
        <f>IF($C$70="","",VLOOKUP($C$70,topic_clusters!$A$5:$J$104,6,FALSE))</f>
        <v/>
      </c>
      <c r="H70" s="42" t="n"/>
      <c r="I70" s="42" t="n"/>
      <c r="J70" s="42" t="n"/>
      <c r="K70" s="42" t="n"/>
      <c r="L70" s="43" t="n"/>
      <c r="M70" s="54" t="n"/>
      <c r="N70" s="54" t="n"/>
      <c r="O70" s="54" t="n"/>
      <c r="P70" s="54" t="n"/>
      <c r="Q70" s="54" t="n"/>
    </row>
    <row r="71">
      <c r="A71" s="41" t="n"/>
      <c r="B71" s="62" t="n"/>
      <c r="C71" s="42" t="n"/>
      <c r="D71" s="42">
        <f>IF($C$71="","",IF($F$71&gt;=70,"High",IF($F$71&gt;=58,"Watch","Risk/Low")))</f>
        <v/>
      </c>
      <c r="E71" s="42">
        <f>IF($C$71="","",VLOOKUP($C$71,drama_angle_map!$A$5:$H$104,2,FALSE))</f>
        <v/>
      </c>
      <c r="F71" s="42">
        <f>IF($C$71="","",VLOOKUP($C$71,drama_angle_map!$A$5:$H$104,8,FALSE))</f>
        <v/>
      </c>
      <c r="G71" s="42">
        <f>IF($C$71="","",VLOOKUP($C$71,topic_clusters!$A$5:$J$104,6,FALSE))</f>
        <v/>
      </c>
      <c r="H71" s="42" t="n"/>
      <c r="I71" s="42" t="n"/>
      <c r="J71" s="42" t="n"/>
      <c r="K71" s="42" t="n"/>
      <c r="L71" s="43" t="n"/>
      <c r="M71" s="54" t="n"/>
      <c r="N71" s="54" t="n"/>
      <c r="O71" s="54" t="n"/>
      <c r="P71" s="54" t="n"/>
      <c r="Q71" s="54" t="n"/>
    </row>
    <row r="72">
      <c r="A72" s="41" t="n"/>
      <c r="B72" s="62" t="n"/>
      <c r="C72" s="42" t="n"/>
      <c r="D72" s="42">
        <f>IF($C$72="","",IF($F$72&gt;=70,"High",IF($F$72&gt;=58,"Watch","Risk/Low")))</f>
        <v/>
      </c>
      <c r="E72" s="42">
        <f>IF($C$72="","",VLOOKUP($C$72,drama_angle_map!$A$5:$H$104,2,FALSE))</f>
        <v/>
      </c>
      <c r="F72" s="42">
        <f>IF($C$72="","",VLOOKUP($C$72,drama_angle_map!$A$5:$H$104,8,FALSE))</f>
        <v/>
      </c>
      <c r="G72" s="42">
        <f>IF($C$72="","",VLOOKUP($C$72,topic_clusters!$A$5:$J$104,6,FALSE))</f>
        <v/>
      </c>
      <c r="H72" s="42" t="n"/>
      <c r="I72" s="42" t="n"/>
      <c r="J72" s="42" t="n"/>
      <c r="K72" s="42" t="n"/>
      <c r="L72" s="43" t="n"/>
      <c r="M72" s="54" t="n"/>
      <c r="N72" s="54" t="n"/>
      <c r="O72" s="54" t="n"/>
      <c r="P72" s="54" t="n"/>
      <c r="Q72" s="54" t="n"/>
    </row>
    <row r="73">
      <c r="A73" s="41" t="n"/>
      <c r="B73" s="62" t="n"/>
      <c r="C73" s="42" t="n"/>
      <c r="D73" s="42">
        <f>IF($C$73="","",IF($F$73&gt;=70,"High",IF($F$73&gt;=58,"Watch","Risk/Low")))</f>
        <v/>
      </c>
      <c r="E73" s="42">
        <f>IF($C$73="","",VLOOKUP($C$73,drama_angle_map!$A$5:$H$104,2,FALSE))</f>
        <v/>
      </c>
      <c r="F73" s="42">
        <f>IF($C$73="","",VLOOKUP($C$73,drama_angle_map!$A$5:$H$104,8,FALSE))</f>
        <v/>
      </c>
      <c r="G73" s="42">
        <f>IF($C$73="","",VLOOKUP($C$73,topic_clusters!$A$5:$J$104,6,FALSE))</f>
        <v/>
      </c>
      <c r="H73" s="42" t="n"/>
      <c r="I73" s="42" t="n"/>
      <c r="J73" s="42" t="n"/>
      <c r="K73" s="42" t="n"/>
      <c r="L73" s="43" t="n"/>
      <c r="M73" s="54" t="n"/>
      <c r="N73" s="54" t="n"/>
      <c r="O73" s="54" t="n"/>
      <c r="P73" s="54" t="n"/>
      <c r="Q73" s="54" t="n"/>
    </row>
    <row r="74">
      <c r="A74" s="41" t="n"/>
      <c r="B74" s="62" t="n"/>
      <c r="C74" s="42" t="n"/>
      <c r="D74" s="42">
        <f>IF($C$74="","",IF($F$74&gt;=70,"High",IF($F$74&gt;=58,"Watch","Risk/Low")))</f>
        <v/>
      </c>
      <c r="E74" s="42">
        <f>IF($C$74="","",VLOOKUP($C$74,drama_angle_map!$A$5:$H$104,2,FALSE))</f>
        <v/>
      </c>
      <c r="F74" s="42">
        <f>IF($C$74="","",VLOOKUP($C$74,drama_angle_map!$A$5:$H$104,8,FALSE))</f>
        <v/>
      </c>
      <c r="G74" s="42">
        <f>IF($C$74="","",VLOOKUP($C$74,topic_clusters!$A$5:$J$104,6,FALSE))</f>
        <v/>
      </c>
      <c r="H74" s="42" t="n"/>
      <c r="I74" s="42" t="n"/>
      <c r="J74" s="42" t="n"/>
      <c r="K74" s="42" t="n"/>
      <c r="L74" s="43" t="n"/>
      <c r="M74" s="54" t="n"/>
      <c r="N74" s="54" t="n"/>
      <c r="O74" s="54" t="n"/>
      <c r="P74" s="54" t="n"/>
      <c r="Q74" s="54" t="n"/>
    </row>
    <row r="75">
      <c r="A75" s="41" t="n"/>
      <c r="B75" s="62" t="n"/>
      <c r="C75" s="42" t="n"/>
      <c r="D75" s="42">
        <f>IF($C$75="","",IF($F$75&gt;=70,"High",IF($F$75&gt;=58,"Watch","Risk/Low")))</f>
        <v/>
      </c>
      <c r="E75" s="42">
        <f>IF($C$75="","",VLOOKUP($C$75,drama_angle_map!$A$5:$H$104,2,FALSE))</f>
        <v/>
      </c>
      <c r="F75" s="42">
        <f>IF($C$75="","",VLOOKUP($C$75,drama_angle_map!$A$5:$H$104,8,FALSE))</f>
        <v/>
      </c>
      <c r="G75" s="42">
        <f>IF($C$75="","",VLOOKUP($C$75,topic_clusters!$A$5:$J$104,6,FALSE))</f>
        <v/>
      </c>
      <c r="H75" s="42" t="n"/>
      <c r="I75" s="42" t="n"/>
      <c r="J75" s="42" t="n"/>
      <c r="K75" s="42" t="n"/>
      <c r="L75" s="43" t="n"/>
      <c r="M75" s="54" t="n"/>
      <c r="N75" s="54" t="n"/>
      <c r="O75" s="54" t="n"/>
      <c r="P75" s="54" t="n"/>
      <c r="Q75" s="54" t="n"/>
    </row>
    <row r="76">
      <c r="A76" s="41" t="n"/>
      <c r="B76" s="62" t="n"/>
      <c r="C76" s="42" t="n"/>
      <c r="D76" s="42">
        <f>IF($C$76="","",IF($F$76&gt;=70,"High",IF($F$76&gt;=58,"Watch","Risk/Low")))</f>
        <v/>
      </c>
      <c r="E76" s="42">
        <f>IF($C$76="","",VLOOKUP($C$76,drama_angle_map!$A$5:$H$104,2,FALSE))</f>
        <v/>
      </c>
      <c r="F76" s="42">
        <f>IF($C$76="","",VLOOKUP($C$76,drama_angle_map!$A$5:$H$104,8,FALSE))</f>
        <v/>
      </c>
      <c r="G76" s="42">
        <f>IF($C$76="","",VLOOKUP($C$76,topic_clusters!$A$5:$J$104,6,FALSE))</f>
        <v/>
      </c>
      <c r="H76" s="42" t="n"/>
      <c r="I76" s="42" t="n"/>
      <c r="J76" s="42" t="n"/>
      <c r="K76" s="42" t="n"/>
      <c r="L76" s="43" t="n"/>
      <c r="M76" s="54" t="n"/>
      <c r="N76" s="54" t="n"/>
      <c r="O76" s="54" t="n"/>
      <c r="P76" s="54" t="n"/>
      <c r="Q76" s="54" t="n"/>
    </row>
    <row r="77">
      <c r="A77" s="41" t="n"/>
      <c r="B77" s="62" t="n"/>
      <c r="C77" s="42" t="n"/>
      <c r="D77" s="42">
        <f>IF($C$77="","",IF($F$77&gt;=70,"High",IF($F$77&gt;=58,"Watch","Risk/Low")))</f>
        <v/>
      </c>
      <c r="E77" s="42">
        <f>IF($C$77="","",VLOOKUP($C$77,drama_angle_map!$A$5:$H$104,2,FALSE))</f>
        <v/>
      </c>
      <c r="F77" s="42">
        <f>IF($C$77="","",VLOOKUP($C$77,drama_angle_map!$A$5:$H$104,8,FALSE))</f>
        <v/>
      </c>
      <c r="G77" s="42">
        <f>IF($C$77="","",VLOOKUP($C$77,topic_clusters!$A$5:$J$104,6,FALSE))</f>
        <v/>
      </c>
      <c r="H77" s="42" t="n"/>
      <c r="I77" s="42" t="n"/>
      <c r="J77" s="42" t="n"/>
      <c r="K77" s="42" t="n"/>
      <c r="L77" s="43" t="n"/>
      <c r="M77" s="54" t="n"/>
      <c r="N77" s="54" t="n"/>
      <c r="O77" s="54" t="n"/>
      <c r="P77" s="54" t="n"/>
      <c r="Q77" s="54" t="n"/>
    </row>
    <row r="78">
      <c r="A78" s="41" t="n"/>
      <c r="B78" s="62" t="n"/>
      <c r="C78" s="42" t="n"/>
      <c r="D78" s="42">
        <f>IF($C$78="","",IF($F$78&gt;=70,"High",IF($F$78&gt;=58,"Watch","Risk/Low")))</f>
        <v/>
      </c>
      <c r="E78" s="42">
        <f>IF($C$78="","",VLOOKUP($C$78,drama_angle_map!$A$5:$H$104,2,FALSE))</f>
        <v/>
      </c>
      <c r="F78" s="42">
        <f>IF($C$78="","",VLOOKUP($C$78,drama_angle_map!$A$5:$H$104,8,FALSE))</f>
        <v/>
      </c>
      <c r="G78" s="42">
        <f>IF($C$78="","",VLOOKUP($C$78,topic_clusters!$A$5:$J$104,6,FALSE))</f>
        <v/>
      </c>
      <c r="H78" s="42" t="n"/>
      <c r="I78" s="42" t="n"/>
      <c r="J78" s="42" t="n"/>
      <c r="K78" s="42" t="n"/>
      <c r="L78" s="43" t="n"/>
      <c r="M78" s="54" t="n"/>
      <c r="N78" s="54" t="n"/>
      <c r="O78" s="54" t="n"/>
      <c r="P78" s="54" t="n"/>
      <c r="Q78" s="54" t="n"/>
    </row>
    <row r="79">
      <c r="A79" s="41" t="n"/>
      <c r="B79" s="62" t="n"/>
      <c r="C79" s="42" t="n"/>
      <c r="D79" s="42">
        <f>IF($C$79="","",IF($F$79&gt;=70,"High",IF($F$79&gt;=58,"Watch","Risk/Low")))</f>
        <v/>
      </c>
      <c r="E79" s="42">
        <f>IF($C$79="","",VLOOKUP($C$79,drama_angle_map!$A$5:$H$104,2,FALSE))</f>
        <v/>
      </c>
      <c r="F79" s="42">
        <f>IF($C$79="","",VLOOKUP($C$79,drama_angle_map!$A$5:$H$104,8,FALSE))</f>
        <v/>
      </c>
      <c r="G79" s="42">
        <f>IF($C$79="","",VLOOKUP($C$79,topic_clusters!$A$5:$J$104,6,FALSE))</f>
        <v/>
      </c>
      <c r="H79" s="42" t="n"/>
      <c r="I79" s="42" t="n"/>
      <c r="J79" s="42" t="n"/>
      <c r="K79" s="42" t="n"/>
      <c r="L79" s="43" t="n"/>
      <c r="M79" s="54" t="n"/>
      <c r="N79" s="54" t="n"/>
      <c r="O79" s="54" t="n"/>
      <c r="P79" s="54" t="n"/>
      <c r="Q79" s="54" t="n"/>
    </row>
    <row r="80">
      <c r="A80" s="41" t="n"/>
      <c r="B80" s="62" t="n"/>
      <c r="C80" s="42" t="n"/>
      <c r="D80" s="42">
        <f>IF($C$80="","",IF($F$80&gt;=70,"High",IF($F$80&gt;=58,"Watch","Risk/Low")))</f>
        <v/>
      </c>
      <c r="E80" s="42">
        <f>IF($C$80="","",VLOOKUP($C$80,drama_angle_map!$A$5:$H$104,2,FALSE))</f>
        <v/>
      </c>
      <c r="F80" s="42">
        <f>IF($C$80="","",VLOOKUP($C$80,drama_angle_map!$A$5:$H$104,8,FALSE))</f>
        <v/>
      </c>
      <c r="G80" s="42">
        <f>IF($C$80="","",VLOOKUP($C$80,topic_clusters!$A$5:$J$104,6,FALSE))</f>
        <v/>
      </c>
      <c r="H80" s="42" t="n"/>
      <c r="I80" s="42" t="n"/>
      <c r="J80" s="42" t="n"/>
      <c r="K80" s="42" t="n"/>
      <c r="L80" s="43" t="n"/>
      <c r="M80" s="54" t="n"/>
      <c r="N80" s="54" t="n"/>
      <c r="O80" s="54" t="n"/>
      <c r="P80" s="54" t="n"/>
      <c r="Q80" s="54" t="n"/>
    </row>
    <row r="81">
      <c r="A81" s="41" t="n"/>
      <c r="B81" s="62" t="n"/>
      <c r="C81" s="42" t="n"/>
      <c r="D81" s="42">
        <f>IF($C$81="","",IF($F$81&gt;=70,"High",IF($F$81&gt;=58,"Watch","Risk/Low")))</f>
        <v/>
      </c>
      <c r="E81" s="42">
        <f>IF($C$81="","",VLOOKUP($C$81,drama_angle_map!$A$5:$H$104,2,FALSE))</f>
        <v/>
      </c>
      <c r="F81" s="42">
        <f>IF($C$81="","",VLOOKUP($C$81,drama_angle_map!$A$5:$H$104,8,FALSE))</f>
        <v/>
      </c>
      <c r="G81" s="42">
        <f>IF($C$81="","",VLOOKUP($C$81,topic_clusters!$A$5:$J$104,6,FALSE))</f>
        <v/>
      </c>
      <c r="H81" s="42" t="n"/>
      <c r="I81" s="42" t="n"/>
      <c r="J81" s="42" t="n"/>
      <c r="K81" s="42" t="n"/>
      <c r="L81" s="43" t="n"/>
      <c r="M81" s="54" t="n"/>
      <c r="N81" s="54" t="n"/>
      <c r="O81" s="54" t="n"/>
      <c r="P81" s="54" t="n"/>
      <c r="Q81" s="54" t="n"/>
    </row>
    <row r="82">
      <c r="A82" s="41" t="n"/>
      <c r="B82" s="62" t="n"/>
      <c r="C82" s="42" t="n"/>
      <c r="D82" s="42">
        <f>IF($C$82="","",IF($F$82&gt;=70,"High",IF($F$82&gt;=58,"Watch","Risk/Low")))</f>
        <v/>
      </c>
      <c r="E82" s="42">
        <f>IF($C$82="","",VLOOKUP($C$82,drama_angle_map!$A$5:$H$104,2,FALSE))</f>
        <v/>
      </c>
      <c r="F82" s="42">
        <f>IF($C$82="","",VLOOKUP($C$82,drama_angle_map!$A$5:$H$104,8,FALSE))</f>
        <v/>
      </c>
      <c r="G82" s="42">
        <f>IF($C$82="","",VLOOKUP($C$82,topic_clusters!$A$5:$J$104,6,FALSE))</f>
        <v/>
      </c>
      <c r="H82" s="42" t="n"/>
      <c r="I82" s="42" t="n"/>
      <c r="J82" s="42" t="n"/>
      <c r="K82" s="42" t="n"/>
      <c r="L82" s="43" t="n"/>
      <c r="M82" s="54" t="n"/>
      <c r="N82" s="54" t="n"/>
      <c r="O82" s="54" t="n"/>
      <c r="P82" s="54" t="n"/>
      <c r="Q82" s="54" t="n"/>
    </row>
    <row r="83">
      <c r="A83" s="41" t="n"/>
      <c r="B83" s="62" t="n"/>
      <c r="C83" s="42" t="n"/>
      <c r="D83" s="42">
        <f>IF($C$83="","",IF($F$83&gt;=70,"High",IF($F$83&gt;=58,"Watch","Risk/Low")))</f>
        <v/>
      </c>
      <c r="E83" s="42">
        <f>IF($C$83="","",VLOOKUP($C$83,drama_angle_map!$A$5:$H$104,2,FALSE))</f>
        <v/>
      </c>
      <c r="F83" s="42">
        <f>IF($C$83="","",VLOOKUP($C$83,drama_angle_map!$A$5:$H$104,8,FALSE))</f>
        <v/>
      </c>
      <c r="G83" s="42">
        <f>IF($C$83="","",VLOOKUP($C$83,topic_clusters!$A$5:$J$104,6,FALSE))</f>
        <v/>
      </c>
      <c r="H83" s="42" t="n"/>
      <c r="I83" s="42" t="n"/>
      <c r="J83" s="42" t="n"/>
      <c r="K83" s="42" t="n"/>
      <c r="L83" s="43" t="n"/>
      <c r="M83" s="54" t="n"/>
      <c r="N83" s="54" t="n"/>
      <c r="O83" s="54" t="n"/>
      <c r="P83" s="54" t="n"/>
      <c r="Q83" s="54" t="n"/>
    </row>
    <row r="84">
      <c r="A84" s="41" t="n"/>
      <c r="B84" s="62" t="n"/>
      <c r="C84" s="42" t="n"/>
      <c r="D84" s="42">
        <f>IF($C$84="","",IF($F$84&gt;=70,"High",IF($F$84&gt;=58,"Watch","Risk/Low")))</f>
        <v/>
      </c>
      <c r="E84" s="42">
        <f>IF($C$84="","",VLOOKUP($C$84,drama_angle_map!$A$5:$H$104,2,FALSE))</f>
        <v/>
      </c>
      <c r="F84" s="42">
        <f>IF($C$84="","",VLOOKUP($C$84,drama_angle_map!$A$5:$H$104,8,FALSE))</f>
        <v/>
      </c>
      <c r="G84" s="42">
        <f>IF($C$84="","",VLOOKUP($C$84,topic_clusters!$A$5:$J$104,6,FALSE))</f>
        <v/>
      </c>
      <c r="H84" s="42" t="n"/>
      <c r="I84" s="42" t="n"/>
      <c r="J84" s="42" t="n"/>
      <c r="K84" s="42" t="n"/>
      <c r="L84" s="43" t="n"/>
      <c r="M84" s="54" t="n"/>
      <c r="N84" s="54" t="n"/>
      <c r="O84" s="54" t="n"/>
      <c r="P84" s="54" t="n"/>
      <c r="Q84" s="54" t="n"/>
    </row>
    <row r="85">
      <c r="A85" s="41" t="n"/>
      <c r="B85" s="62" t="n"/>
      <c r="C85" s="42" t="n"/>
      <c r="D85" s="42">
        <f>IF($C$85="","",IF($F$85&gt;=70,"High",IF($F$85&gt;=58,"Watch","Risk/Low")))</f>
        <v/>
      </c>
      <c r="E85" s="42">
        <f>IF($C$85="","",VLOOKUP($C$85,drama_angle_map!$A$5:$H$104,2,FALSE))</f>
        <v/>
      </c>
      <c r="F85" s="42">
        <f>IF($C$85="","",VLOOKUP($C$85,drama_angle_map!$A$5:$H$104,8,FALSE))</f>
        <v/>
      </c>
      <c r="G85" s="42">
        <f>IF($C$85="","",VLOOKUP($C$85,topic_clusters!$A$5:$J$104,6,FALSE))</f>
        <v/>
      </c>
      <c r="H85" s="42" t="n"/>
      <c r="I85" s="42" t="n"/>
      <c r="J85" s="42" t="n"/>
      <c r="K85" s="42" t="n"/>
      <c r="L85" s="43" t="n"/>
      <c r="M85" s="54" t="n"/>
      <c r="N85" s="54" t="n"/>
      <c r="O85" s="54" t="n"/>
      <c r="P85" s="54" t="n"/>
      <c r="Q85" s="54" t="n"/>
    </row>
    <row r="86">
      <c r="A86" s="41" t="n"/>
      <c r="B86" s="62" t="n"/>
      <c r="C86" s="42" t="n"/>
      <c r="D86" s="42">
        <f>IF($C$86="","",IF($F$86&gt;=70,"High",IF($F$86&gt;=58,"Watch","Risk/Low")))</f>
        <v/>
      </c>
      <c r="E86" s="42">
        <f>IF($C$86="","",VLOOKUP($C$86,drama_angle_map!$A$5:$H$104,2,FALSE))</f>
        <v/>
      </c>
      <c r="F86" s="42">
        <f>IF($C$86="","",VLOOKUP($C$86,drama_angle_map!$A$5:$H$104,8,FALSE))</f>
        <v/>
      </c>
      <c r="G86" s="42">
        <f>IF($C$86="","",VLOOKUP($C$86,topic_clusters!$A$5:$J$104,6,FALSE))</f>
        <v/>
      </c>
      <c r="H86" s="42" t="n"/>
      <c r="I86" s="42" t="n"/>
      <c r="J86" s="42" t="n"/>
      <c r="K86" s="42" t="n"/>
      <c r="L86" s="43" t="n"/>
      <c r="M86" s="54" t="n"/>
      <c r="N86" s="54" t="n"/>
      <c r="O86" s="54" t="n"/>
      <c r="P86" s="54" t="n"/>
      <c r="Q86" s="54" t="n"/>
    </row>
    <row r="87">
      <c r="A87" s="41" t="n"/>
      <c r="B87" s="62" t="n"/>
      <c r="C87" s="42" t="n"/>
      <c r="D87" s="42">
        <f>IF($C$87="","",IF($F$87&gt;=70,"High",IF($F$87&gt;=58,"Watch","Risk/Low")))</f>
        <v/>
      </c>
      <c r="E87" s="42">
        <f>IF($C$87="","",VLOOKUP($C$87,drama_angle_map!$A$5:$H$104,2,FALSE))</f>
        <v/>
      </c>
      <c r="F87" s="42">
        <f>IF($C$87="","",VLOOKUP($C$87,drama_angle_map!$A$5:$H$104,8,FALSE))</f>
        <v/>
      </c>
      <c r="G87" s="42">
        <f>IF($C$87="","",VLOOKUP($C$87,topic_clusters!$A$5:$J$104,6,FALSE))</f>
        <v/>
      </c>
      <c r="H87" s="42" t="n"/>
      <c r="I87" s="42" t="n"/>
      <c r="J87" s="42" t="n"/>
      <c r="K87" s="42" t="n"/>
      <c r="L87" s="43" t="n"/>
      <c r="M87" s="54" t="n"/>
      <c r="N87" s="54" t="n"/>
      <c r="O87" s="54" t="n"/>
      <c r="P87" s="54" t="n"/>
      <c r="Q87" s="54" t="n"/>
    </row>
    <row r="88">
      <c r="A88" s="41" t="n"/>
      <c r="B88" s="62" t="n"/>
      <c r="C88" s="42" t="n"/>
      <c r="D88" s="42">
        <f>IF($C$88="","",IF($F$88&gt;=70,"High",IF($F$88&gt;=58,"Watch","Risk/Low")))</f>
        <v/>
      </c>
      <c r="E88" s="42">
        <f>IF($C$88="","",VLOOKUP($C$88,drama_angle_map!$A$5:$H$104,2,FALSE))</f>
        <v/>
      </c>
      <c r="F88" s="42">
        <f>IF($C$88="","",VLOOKUP($C$88,drama_angle_map!$A$5:$H$104,8,FALSE))</f>
        <v/>
      </c>
      <c r="G88" s="42">
        <f>IF($C$88="","",VLOOKUP($C$88,topic_clusters!$A$5:$J$104,6,FALSE))</f>
        <v/>
      </c>
      <c r="H88" s="42" t="n"/>
      <c r="I88" s="42" t="n"/>
      <c r="J88" s="42" t="n"/>
      <c r="K88" s="42" t="n"/>
      <c r="L88" s="43" t="n"/>
      <c r="M88" s="54" t="n"/>
      <c r="N88" s="54" t="n"/>
      <c r="O88" s="54" t="n"/>
      <c r="P88" s="54" t="n"/>
      <c r="Q88" s="54" t="n"/>
    </row>
    <row r="89">
      <c r="A89" s="41" t="n"/>
      <c r="B89" s="62" t="n"/>
      <c r="C89" s="42" t="n"/>
      <c r="D89" s="42">
        <f>IF($C$89="","",IF($F$89&gt;=70,"High",IF($F$89&gt;=58,"Watch","Risk/Low")))</f>
        <v/>
      </c>
      <c r="E89" s="42">
        <f>IF($C$89="","",VLOOKUP($C$89,drama_angle_map!$A$5:$H$104,2,FALSE))</f>
        <v/>
      </c>
      <c r="F89" s="42">
        <f>IF($C$89="","",VLOOKUP($C$89,drama_angle_map!$A$5:$H$104,8,FALSE))</f>
        <v/>
      </c>
      <c r="G89" s="42">
        <f>IF($C$89="","",VLOOKUP($C$89,topic_clusters!$A$5:$J$104,6,FALSE))</f>
        <v/>
      </c>
      <c r="H89" s="42" t="n"/>
      <c r="I89" s="42" t="n"/>
      <c r="J89" s="42" t="n"/>
      <c r="K89" s="42" t="n"/>
      <c r="L89" s="43" t="n"/>
      <c r="M89" s="54" t="n"/>
      <c r="N89" s="54" t="n"/>
      <c r="O89" s="54" t="n"/>
      <c r="P89" s="54" t="n"/>
      <c r="Q89" s="54" t="n"/>
    </row>
    <row r="90">
      <c r="A90" s="41" t="n"/>
      <c r="B90" s="62" t="n"/>
      <c r="C90" s="42" t="n"/>
      <c r="D90" s="42">
        <f>IF($C$90="","",IF($F$90&gt;=70,"High",IF($F$90&gt;=58,"Watch","Risk/Low")))</f>
        <v/>
      </c>
      <c r="E90" s="42">
        <f>IF($C$90="","",VLOOKUP($C$90,drama_angle_map!$A$5:$H$104,2,FALSE))</f>
        <v/>
      </c>
      <c r="F90" s="42">
        <f>IF($C$90="","",VLOOKUP($C$90,drama_angle_map!$A$5:$H$104,8,FALSE))</f>
        <v/>
      </c>
      <c r="G90" s="42">
        <f>IF($C$90="","",VLOOKUP($C$90,topic_clusters!$A$5:$J$104,6,FALSE))</f>
        <v/>
      </c>
      <c r="H90" s="42" t="n"/>
      <c r="I90" s="42" t="n"/>
      <c r="J90" s="42" t="n"/>
      <c r="K90" s="42" t="n"/>
      <c r="L90" s="43" t="n"/>
      <c r="M90" s="54" t="n"/>
      <c r="N90" s="54" t="n"/>
      <c r="O90" s="54" t="n"/>
      <c r="P90" s="54" t="n"/>
      <c r="Q90" s="54" t="n"/>
    </row>
    <row r="91">
      <c r="A91" s="41" t="n"/>
      <c r="B91" s="62" t="n"/>
      <c r="C91" s="42" t="n"/>
      <c r="D91" s="42">
        <f>IF($C$91="","",IF($F$91&gt;=70,"High",IF($F$91&gt;=58,"Watch","Risk/Low")))</f>
        <v/>
      </c>
      <c r="E91" s="42">
        <f>IF($C$91="","",VLOOKUP($C$91,drama_angle_map!$A$5:$H$104,2,FALSE))</f>
        <v/>
      </c>
      <c r="F91" s="42">
        <f>IF($C$91="","",VLOOKUP($C$91,drama_angle_map!$A$5:$H$104,8,FALSE))</f>
        <v/>
      </c>
      <c r="G91" s="42">
        <f>IF($C$91="","",VLOOKUP($C$91,topic_clusters!$A$5:$J$104,6,FALSE))</f>
        <v/>
      </c>
      <c r="H91" s="42" t="n"/>
      <c r="I91" s="42" t="n"/>
      <c r="J91" s="42" t="n"/>
      <c r="K91" s="42" t="n"/>
      <c r="L91" s="43" t="n"/>
      <c r="M91" s="54" t="n"/>
      <c r="N91" s="54" t="n"/>
      <c r="O91" s="54" t="n"/>
      <c r="P91" s="54" t="n"/>
      <c r="Q91" s="54" t="n"/>
    </row>
    <row r="92">
      <c r="A92" s="41" t="n"/>
      <c r="B92" s="62" t="n"/>
      <c r="C92" s="42" t="n"/>
      <c r="D92" s="42">
        <f>IF($C$92="","",IF($F$92&gt;=70,"High",IF($F$92&gt;=58,"Watch","Risk/Low")))</f>
        <v/>
      </c>
      <c r="E92" s="42">
        <f>IF($C$92="","",VLOOKUP($C$92,drama_angle_map!$A$5:$H$104,2,FALSE))</f>
        <v/>
      </c>
      <c r="F92" s="42">
        <f>IF($C$92="","",VLOOKUP($C$92,drama_angle_map!$A$5:$H$104,8,FALSE))</f>
        <v/>
      </c>
      <c r="G92" s="42">
        <f>IF($C$92="","",VLOOKUP($C$92,topic_clusters!$A$5:$J$104,6,FALSE))</f>
        <v/>
      </c>
      <c r="H92" s="42" t="n"/>
      <c r="I92" s="42" t="n"/>
      <c r="J92" s="42" t="n"/>
      <c r="K92" s="42" t="n"/>
      <c r="L92" s="43" t="n"/>
      <c r="M92" s="54" t="n"/>
      <c r="N92" s="54" t="n"/>
      <c r="O92" s="54" t="n"/>
      <c r="P92" s="54" t="n"/>
      <c r="Q92" s="54" t="n"/>
    </row>
    <row r="93">
      <c r="A93" s="41" t="n"/>
      <c r="B93" s="62" t="n"/>
      <c r="C93" s="42" t="n"/>
      <c r="D93" s="42">
        <f>IF($C$93="","",IF($F$93&gt;=70,"High",IF($F$93&gt;=58,"Watch","Risk/Low")))</f>
        <v/>
      </c>
      <c r="E93" s="42">
        <f>IF($C$93="","",VLOOKUP($C$93,drama_angle_map!$A$5:$H$104,2,FALSE))</f>
        <v/>
      </c>
      <c r="F93" s="42">
        <f>IF($C$93="","",VLOOKUP($C$93,drama_angle_map!$A$5:$H$104,8,FALSE))</f>
        <v/>
      </c>
      <c r="G93" s="42">
        <f>IF($C$93="","",VLOOKUP($C$93,topic_clusters!$A$5:$J$104,6,FALSE))</f>
        <v/>
      </c>
      <c r="H93" s="42" t="n"/>
      <c r="I93" s="42" t="n"/>
      <c r="J93" s="42" t="n"/>
      <c r="K93" s="42" t="n"/>
      <c r="L93" s="43" t="n"/>
      <c r="M93" s="54" t="n"/>
      <c r="N93" s="54" t="n"/>
      <c r="O93" s="54" t="n"/>
      <c r="P93" s="54" t="n"/>
      <c r="Q93" s="54" t="n"/>
    </row>
    <row r="94">
      <c r="A94" s="41" t="n"/>
      <c r="B94" s="62" t="n"/>
      <c r="C94" s="42" t="n"/>
      <c r="D94" s="42">
        <f>IF($C$94="","",IF($F$94&gt;=70,"High",IF($F$94&gt;=58,"Watch","Risk/Low")))</f>
        <v/>
      </c>
      <c r="E94" s="42">
        <f>IF($C$94="","",VLOOKUP($C$94,drama_angle_map!$A$5:$H$104,2,FALSE))</f>
        <v/>
      </c>
      <c r="F94" s="42">
        <f>IF($C$94="","",VLOOKUP($C$94,drama_angle_map!$A$5:$H$104,8,FALSE))</f>
        <v/>
      </c>
      <c r="G94" s="42">
        <f>IF($C$94="","",VLOOKUP($C$94,topic_clusters!$A$5:$J$104,6,FALSE))</f>
        <v/>
      </c>
      <c r="H94" s="42" t="n"/>
      <c r="I94" s="42" t="n"/>
      <c r="J94" s="42" t="n"/>
      <c r="K94" s="42" t="n"/>
      <c r="L94" s="43" t="n"/>
      <c r="M94" s="54" t="n"/>
      <c r="N94" s="54" t="n"/>
      <c r="O94" s="54" t="n"/>
      <c r="P94" s="54" t="n"/>
      <c r="Q94" s="54" t="n"/>
    </row>
    <row r="95">
      <c r="A95" s="41" t="n"/>
      <c r="B95" s="62" t="n"/>
      <c r="C95" s="42" t="n"/>
      <c r="D95" s="42">
        <f>IF($C$95="","",IF($F$95&gt;=70,"High",IF($F$95&gt;=58,"Watch","Risk/Low")))</f>
        <v/>
      </c>
      <c r="E95" s="42">
        <f>IF($C$95="","",VLOOKUP($C$95,drama_angle_map!$A$5:$H$104,2,FALSE))</f>
        <v/>
      </c>
      <c r="F95" s="42">
        <f>IF($C$95="","",VLOOKUP($C$95,drama_angle_map!$A$5:$H$104,8,FALSE))</f>
        <v/>
      </c>
      <c r="G95" s="42">
        <f>IF($C$95="","",VLOOKUP($C$95,topic_clusters!$A$5:$J$104,6,FALSE))</f>
        <v/>
      </c>
      <c r="H95" s="42" t="n"/>
      <c r="I95" s="42" t="n"/>
      <c r="J95" s="42" t="n"/>
      <c r="K95" s="42" t="n"/>
      <c r="L95" s="43" t="n"/>
      <c r="M95" s="54" t="n"/>
      <c r="N95" s="54" t="n"/>
      <c r="O95" s="54" t="n"/>
      <c r="P95" s="54" t="n"/>
      <c r="Q95" s="54" t="n"/>
    </row>
    <row r="96">
      <c r="A96" s="41" t="n"/>
      <c r="B96" s="62" t="n"/>
      <c r="C96" s="42" t="n"/>
      <c r="D96" s="42">
        <f>IF($C$96="","",IF($F$96&gt;=70,"High",IF($F$96&gt;=58,"Watch","Risk/Low")))</f>
        <v/>
      </c>
      <c r="E96" s="42">
        <f>IF($C$96="","",VLOOKUP($C$96,drama_angle_map!$A$5:$H$104,2,FALSE))</f>
        <v/>
      </c>
      <c r="F96" s="42">
        <f>IF($C$96="","",VLOOKUP($C$96,drama_angle_map!$A$5:$H$104,8,FALSE))</f>
        <v/>
      </c>
      <c r="G96" s="42">
        <f>IF($C$96="","",VLOOKUP($C$96,topic_clusters!$A$5:$J$104,6,FALSE))</f>
        <v/>
      </c>
      <c r="H96" s="42" t="n"/>
      <c r="I96" s="42" t="n"/>
      <c r="J96" s="42" t="n"/>
      <c r="K96" s="42" t="n"/>
      <c r="L96" s="43" t="n"/>
      <c r="M96" s="54" t="n"/>
      <c r="N96" s="54" t="n"/>
      <c r="O96" s="54" t="n"/>
      <c r="P96" s="54" t="n"/>
      <c r="Q96" s="54" t="n"/>
    </row>
    <row r="97">
      <c r="A97" s="41" t="n"/>
      <c r="B97" s="62" t="n"/>
      <c r="C97" s="42" t="n"/>
      <c r="D97" s="42">
        <f>IF($C$97="","",IF($F$97&gt;=70,"High",IF($F$97&gt;=58,"Watch","Risk/Low")))</f>
        <v/>
      </c>
      <c r="E97" s="42">
        <f>IF($C$97="","",VLOOKUP($C$97,drama_angle_map!$A$5:$H$104,2,FALSE))</f>
        <v/>
      </c>
      <c r="F97" s="42">
        <f>IF($C$97="","",VLOOKUP($C$97,drama_angle_map!$A$5:$H$104,8,FALSE))</f>
        <v/>
      </c>
      <c r="G97" s="42">
        <f>IF($C$97="","",VLOOKUP($C$97,topic_clusters!$A$5:$J$104,6,FALSE))</f>
        <v/>
      </c>
      <c r="H97" s="42" t="n"/>
      <c r="I97" s="42" t="n"/>
      <c r="J97" s="42" t="n"/>
      <c r="K97" s="42" t="n"/>
      <c r="L97" s="43" t="n"/>
      <c r="M97" s="54" t="n"/>
      <c r="N97" s="54" t="n"/>
      <c r="O97" s="54" t="n"/>
      <c r="P97" s="54" t="n"/>
      <c r="Q97" s="54" t="n"/>
    </row>
    <row r="98">
      <c r="A98" s="41" t="n"/>
      <c r="B98" s="62" t="n"/>
      <c r="C98" s="42" t="n"/>
      <c r="D98" s="42">
        <f>IF($C$98="","",IF($F$98&gt;=70,"High",IF($F$98&gt;=58,"Watch","Risk/Low")))</f>
        <v/>
      </c>
      <c r="E98" s="42">
        <f>IF($C$98="","",VLOOKUP($C$98,drama_angle_map!$A$5:$H$104,2,FALSE))</f>
        <v/>
      </c>
      <c r="F98" s="42">
        <f>IF($C$98="","",VLOOKUP($C$98,drama_angle_map!$A$5:$H$104,8,FALSE))</f>
        <v/>
      </c>
      <c r="G98" s="42">
        <f>IF($C$98="","",VLOOKUP($C$98,topic_clusters!$A$5:$J$104,6,FALSE))</f>
        <v/>
      </c>
      <c r="H98" s="42" t="n"/>
      <c r="I98" s="42" t="n"/>
      <c r="J98" s="42" t="n"/>
      <c r="K98" s="42" t="n"/>
      <c r="L98" s="43" t="n"/>
      <c r="M98" s="54" t="n"/>
      <c r="N98" s="54" t="n"/>
      <c r="O98" s="54" t="n"/>
      <c r="P98" s="54" t="n"/>
      <c r="Q98" s="54" t="n"/>
    </row>
    <row r="99">
      <c r="A99" s="41" t="n"/>
      <c r="B99" s="62" t="n"/>
      <c r="C99" s="42" t="n"/>
      <c r="D99" s="42">
        <f>IF($C$99="","",IF($F$99&gt;=70,"High",IF($F$99&gt;=58,"Watch","Risk/Low")))</f>
        <v/>
      </c>
      <c r="E99" s="42">
        <f>IF($C$99="","",VLOOKUP($C$99,drama_angle_map!$A$5:$H$104,2,FALSE))</f>
        <v/>
      </c>
      <c r="F99" s="42">
        <f>IF($C$99="","",VLOOKUP($C$99,drama_angle_map!$A$5:$H$104,8,FALSE))</f>
        <v/>
      </c>
      <c r="G99" s="42">
        <f>IF($C$99="","",VLOOKUP($C$99,topic_clusters!$A$5:$J$104,6,FALSE))</f>
        <v/>
      </c>
      <c r="H99" s="42" t="n"/>
      <c r="I99" s="42" t="n"/>
      <c r="J99" s="42" t="n"/>
      <c r="K99" s="42" t="n"/>
      <c r="L99" s="43" t="n"/>
      <c r="M99" s="54" t="n"/>
      <c r="N99" s="54" t="n"/>
      <c r="O99" s="54" t="n"/>
      <c r="P99" s="54" t="n"/>
      <c r="Q99" s="54" t="n"/>
    </row>
    <row r="100">
      <c r="A100" s="41" t="n"/>
      <c r="B100" s="62" t="n"/>
      <c r="C100" s="42" t="n"/>
      <c r="D100" s="42">
        <f>IF($C$100="","",IF($F$100&gt;=70,"High",IF($F$100&gt;=58,"Watch","Risk/Low")))</f>
        <v/>
      </c>
      <c r="E100" s="42">
        <f>IF($C$100="","",VLOOKUP($C$100,drama_angle_map!$A$5:$H$104,2,FALSE))</f>
        <v/>
      </c>
      <c r="F100" s="42">
        <f>IF($C$100="","",VLOOKUP($C$100,drama_angle_map!$A$5:$H$104,8,FALSE))</f>
        <v/>
      </c>
      <c r="G100" s="42">
        <f>IF($C$100="","",VLOOKUP($C$100,topic_clusters!$A$5:$J$104,6,FALSE))</f>
        <v/>
      </c>
      <c r="H100" s="42" t="n"/>
      <c r="I100" s="42" t="n"/>
      <c r="J100" s="42" t="n"/>
      <c r="K100" s="42" t="n"/>
      <c r="L100" s="43" t="n"/>
      <c r="M100" s="54" t="n"/>
      <c r="N100" s="54" t="n"/>
      <c r="O100" s="54" t="n"/>
      <c r="P100" s="54" t="n"/>
      <c r="Q100" s="54" t="n"/>
    </row>
    <row r="101">
      <c r="A101" s="41" t="n"/>
      <c r="B101" s="62" t="n"/>
      <c r="C101" s="42" t="n"/>
      <c r="D101" s="42">
        <f>IF($C$101="","",IF($F$101&gt;=70,"High",IF($F$101&gt;=58,"Watch","Risk/Low")))</f>
        <v/>
      </c>
      <c r="E101" s="42">
        <f>IF($C$101="","",VLOOKUP($C$101,drama_angle_map!$A$5:$H$104,2,FALSE))</f>
        <v/>
      </c>
      <c r="F101" s="42">
        <f>IF($C$101="","",VLOOKUP($C$101,drama_angle_map!$A$5:$H$104,8,FALSE))</f>
        <v/>
      </c>
      <c r="G101" s="42">
        <f>IF($C$101="","",VLOOKUP($C$101,topic_clusters!$A$5:$J$104,6,FALSE))</f>
        <v/>
      </c>
      <c r="H101" s="42" t="n"/>
      <c r="I101" s="42" t="n"/>
      <c r="J101" s="42" t="n"/>
      <c r="K101" s="42" t="n"/>
      <c r="L101" s="43" t="n"/>
      <c r="M101" s="54" t="n"/>
      <c r="N101" s="54" t="n"/>
      <c r="O101" s="54" t="n"/>
      <c r="P101" s="54" t="n"/>
      <c r="Q101" s="54" t="n"/>
    </row>
    <row r="102">
      <c r="A102" s="41" t="n"/>
      <c r="B102" s="62" t="n"/>
      <c r="C102" s="42" t="n"/>
      <c r="D102" s="42">
        <f>IF($C$102="","",IF($F$102&gt;=70,"High",IF($F$102&gt;=58,"Watch","Risk/Low")))</f>
        <v/>
      </c>
      <c r="E102" s="42">
        <f>IF($C$102="","",VLOOKUP($C$102,drama_angle_map!$A$5:$H$104,2,FALSE))</f>
        <v/>
      </c>
      <c r="F102" s="42">
        <f>IF($C$102="","",VLOOKUP($C$102,drama_angle_map!$A$5:$H$104,8,FALSE))</f>
        <v/>
      </c>
      <c r="G102" s="42">
        <f>IF($C$102="","",VLOOKUP($C$102,topic_clusters!$A$5:$J$104,6,FALSE))</f>
        <v/>
      </c>
      <c r="H102" s="42" t="n"/>
      <c r="I102" s="42" t="n"/>
      <c r="J102" s="42" t="n"/>
      <c r="K102" s="42" t="n"/>
      <c r="L102" s="43" t="n"/>
      <c r="M102" s="54" t="n"/>
      <c r="N102" s="54" t="n"/>
      <c r="O102" s="54" t="n"/>
      <c r="P102" s="54" t="n"/>
      <c r="Q102" s="54" t="n"/>
    </row>
    <row r="103">
      <c r="A103" s="41" t="n"/>
      <c r="B103" s="62" t="n"/>
      <c r="C103" s="42" t="n"/>
      <c r="D103" s="42">
        <f>IF($C$103="","",IF($F$103&gt;=70,"High",IF($F$103&gt;=58,"Watch","Risk/Low")))</f>
        <v/>
      </c>
      <c r="E103" s="42">
        <f>IF($C$103="","",VLOOKUP($C$103,drama_angle_map!$A$5:$H$104,2,FALSE))</f>
        <v/>
      </c>
      <c r="F103" s="42">
        <f>IF($C$103="","",VLOOKUP($C$103,drama_angle_map!$A$5:$H$104,8,FALSE))</f>
        <v/>
      </c>
      <c r="G103" s="42">
        <f>IF($C$103="","",VLOOKUP($C$103,topic_clusters!$A$5:$J$104,6,FALSE))</f>
        <v/>
      </c>
      <c r="H103" s="42" t="n"/>
      <c r="I103" s="42" t="n"/>
      <c r="J103" s="42" t="n"/>
      <c r="K103" s="42" t="n"/>
      <c r="L103" s="43" t="n"/>
      <c r="M103" s="54" t="n"/>
      <c r="N103" s="54" t="n"/>
      <c r="O103" s="54" t="n"/>
      <c r="P103" s="54" t="n"/>
      <c r="Q103" s="54" t="n"/>
    </row>
    <row r="104">
      <c r="A104" s="44" t="n"/>
      <c r="B104" s="64" t="n"/>
      <c r="C104" s="45" t="n"/>
      <c r="D104" s="45">
        <f>IF($C$104="","",IF($F$104&gt;=70,"High",IF($F$104&gt;=58,"Watch","Risk/Low")))</f>
        <v/>
      </c>
      <c r="E104" s="45">
        <f>IF($C$104="","",VLOOKUP($C$104,drama_angle_map!$A$5:$H$104,2,FALSE))</f>
        <v/>
      </c>
      <c r="F104" s="45">
        <f>IF($C$104="","",VLOOKUP($C$104,drama_angle_map!$A$5:$H$104,8,FALSE))</f>
        <v/>
      </c>
      <c r="G104" s="45">
        <f>IF($C$104="","",VLOOKUP($C$104,topic_clusters!$A$5:$J$104,6,FALSE))</f>
        <v/>
      </c>
      <c r="H104" s="45" t="n"/>
      <c r="I104" s="45" t="n"/>
      <c r="J104" s="45" t="n"/>
      <c r="K104" s="45" t="n"/>
      <c r="L104" s="46" t="n"/>
      <c r="M104" s="54" t="n"/>
      <c r="N104" s="54" t="n"/>
      <c r="O104" s="54" t="n"/>
      <c r="P104" s="54" t="n"/>
      <c r="Q104" s="54" t="n"/>
    </row>
    <row r="105">
      <c r="A105" s="54" t="n"/>
      <c r="B105" s="54" t="n"/>
      <c r="C105" s="54" t="n"/>
      <c r="D105" s="54" t="n"/>
      <c r="E105" s="54" t="n"/>
      <c r="F105" s="54" t="n"/>
      <c r="G105" s="54" t="n"/>
      <c r="H105" s="54" t="n"/>
      <c r="I105" s="54" t="n"/>
      <c r="J105" s="54" t="n"/>
      <c r="K105" s="54" t="n"/>
      <c r="L105" s="54" t="n"/>
      <c r="M105" s="54" t="n"/>
      <c r="N105" s="54" t="n"/>
      <c r="O105" s="54" t="n"/>
      <c r="P105" s="54" t="n"/>
      <c r="Q105" s="54" t="n"/>
    </row>
    <row r="106">
      <c r="A106" s="54" t="n"/>
      <c r="B106" s="54" t="n"/>
      <c r="C106" s="54" t="n"/>
      <c r="D106" s="54" t="n"/>
      <c r="E106" s="54" t="n"/>
      <c r="F106" s="54" t="n"/>
      <c r="G106" s="54" t="n"/>
      <c r="H106" s="54" t="n"/>
      <c r="I106" s="54" t="n"/>
      <c r="J106" s="54" t="n"/>
      <c r="K106" s="54" t="n"/>
      <c r="L106" s="54" t="n"/>
      <c r="M106" s="54" t="n"/>
      <c r="N106" s="54" t="n"/>
      <c r="O106" s="54" t="n"/>
      <c r="P106" s="54" t="n"/>
      <c r="Q106" s="54" t="n"/>
    </row>
    <row r="107">
      <c r="A107" s="54" t="n"/>
      <c r="B107" s="54" t="n"/>
      <c r="C107" s="54" t="n"/>
      <c r="D107" s="54" t="n"/>
      <c r="E107" s="54" t="n"/>
      <c r="F107" s="54" t="n"/>
      <c r="G107" s="54" t="n"/>
      <c r="H107" s="54" t="n"/>
      <c r="I107" s="54" t="n"/>
      <c r="J107" s="54" t="n"/>
      <c r="K107" s="54" t="n"/>
      <c r="L107" s="54" t="n"/>
      <c r="M107" s="54" t="n"/>
      <c r="N107" s="54" t="n"/>
      <c r="O107" s="54" t="n"/>
      <c r="P107" s="54" t="n"/>
      <c r="Q107" s="54" t="n"/>
    </row>
    <row r="108">
      <c r="A108" s="54" t="n"/>
      <c r="B108" s="54" t="n"/>
      <c r="C108" s="54" t="n"/>
      <c r="D108" s="54" t="n"/>
      <c r="E108" s="54" t="n"/>
      <c r="F108" s="54" t="n"/>
      <c r="G108" s="54" t="n"/>
      <c r="H108" s="54" t="n"/>
      <c r="I108" s="54" t="n"/>
      <c r="J108" s="54" t="n"/>
      <c r="K108" s="54" t="n"/>
      <c r="L108" s="54" t="n"/>
      <c r="M108" s="54" t="n"/>
      <c r="N108" s="54" t="n"/>
      <c r="O108" s="54" t="n"/>
      <c r="P108" s="54" t="n"/>
      <c r="Q108" s="54" t="n"/>
    </row>
    <row r="109">
      <c r="A109" s="54" t="n"/>
      <c r="B109" s="54" t="n"/>
      <c r="C109" s="54" t="n"/>
      <c r="D109" s="54" t="n"/>
      <c r="E109" s="54" t="n"/>
      <c r="F109" s="54" t="n"/>
      <c r="G109" s="54" t="n"/>
      <c r="H109" s="54" t="n"/>
      <c r="I109" s="54" t="n"/>
      <c r="J109" s="54" t="n"/>
      <c r="K109" s="54" t="n"/>
      <c r="L109" s="54" t="n"/>
      <c r="M109" s="54" t="n"/>
      <c r="N109" s="54" t="n"/>
      <c r="O109" s="54" t="n"/>
      <c r="P109" s="54" t="n"/>
      <c r="Q109" s="54" t="n"/>
    </row>
    <row r="110">
      <c r="A110" s="54" t="n"/>
      <c r="B110" s="54" t="n"/>
      <c r="C110" s="54" t="n"/>
      <c r="D110" s="54" t="n"/>
      <c r="E110" s="54" t="n"/>
      <c r="F110" s="54" t="n"/>
      <c r="G110" s="54" t="n"/>
      <c r="H110" s="54" t="n"/>
      <c r="I110" s="54" t="n"/>
      <c r="J110" s="54" t="n"/>
      <c r="K110" s="54" t="n"/>
      <c r="L110" s="54" t="n"/>
      <c r="M110" s="54" t="n"/>
      <c r="N110" s="54" t="n"/>
      <c r="O110" s="54" t="n"/>
      <c r="P110" s="54" t="n"/>
      <c r="Q110" s="54" t="n"/>
    </row>
    <row r="111">
      <c r="A111" s="54" t="n"/>
      <c r="B111" s="54" t="n"/>
      <c r="C111" s="54" t="n"/>
      <c r="D111" s="54" t="n"/>
      <c r="E111" s="54" t="n"/>
      <c r="F111" s="54" t="n"/>
      <c r="G111" s="54" t="n"/>
      <c r="H111" s="54" t="n"/>
      <c r="I111" s="54" t="n"/>
      <c r="J111" s="54" t="n"/>
      <c r="K111" s="54" t="n"/>
      <c r="L111" s="54" t="n"/>
      <c r="M111" s="54" t="n"/>
      <c r="N111" s="54" t="n"/>
      <c r="O111" s="54" t="n"/>
      <c r="P111" s="54" t="n"/>
      <c r="Q111" s="54" t="n"/>
    </row>
    <row r="112">
      <c r="A112" s="54" t="n"/>
      <c r="B112" s="54" t="n"/>
      <c r="C112" s="54" t="n"/>
      <c r="D112" s="54" t="n"/>
      <c r="E112" s="54" t="n"/>
      <c r="F112" s="54" t="n"/>
      <c r="G112" s="54" t="n"/>
      <c r="H112" s="54" t="n"/>
      <c r="I112" s="54" t="n"/>
      <c r="J112" s="54" t="n"/>
      <c r="K112" s="54" t="n"/>
      <c r="L112" s="54" t="n"/>
      <c r="M112" s="54" t="n"/>
      <c r="N112" s="54" t="n"/>
      <c r="O112" s="54" t="n"/>
      <c r="P112" s="54" t="n"/>
      <c r="Q112" s="54" t="n"/>
    </row>
    <row r="113">
      <c r="A113" s="54" t="n"/>
      <c r="B113" s="54" t="n"/>
      <c r="C113" s="54" t="n"/>
      <c r="D113" s="54" t="n"/>
      <c r="E113" s="54" t="n"/>
      <c r="F113" s="54" t="n"/>
      <c r="G113" s="54" t="n"/>
      <c r="H113" s="54" t="n"/>
      <c r="I113" s="54" t="n"/>
      <c r="J113" s="54" t="n"/>
      <c r="K113" s="54" t="n"/>
      <c r="L113" s="54" t="n"/>
      <c r="M113" s="54" t="n"/>
      <c r="N113" s="54" t="n"/>
      <c r="O113" s="54" t="n"/>
      <c r="P113" s="54" t="n"/>
      <c r="Q113" s="54" t="n"/>
    </row>
    <row r="114">
      <c r="A114" s="54" t="n"/>
      <c r="B114" s="54" t="n"/>
      <c r="C114" s="54" t="n"/>
      <c r="D114" s="54" t="n"/>
      <c r="E114" s="54" t="n"/>
      <c r="F114" s="54" t="n"/>
      <c r="G114" s="54" t="n"/>
      <c r="H114" s="54" t="n"/>
      <c r="I114" s="54" t="n"/>
      <c r="J114" s="54" t="n"/>
      <c r="K114" s="54" t="n"/>
      <c r="L114" s="54" t="n"/>
      <c r="M114" s="54" t="n"/>
      <c r="N114" s="54" t="n"/>
      <c r="O114" s="54" t="n"/>
      <c r="P114" s="54" t="n"/>
      <c r="Q114" s="54" t="n"/>
    </row>
    <row r="115">
      <c r="A115" s="54" t="n"/>
      <c r="B115" s="54" t="n"/>
      <c r="C115" s="54" t="n"/>
      <c r="D115" s="54" t="n"/>
      <c r="E115" s="54" t="n"/>
      <c r="F115" s="54" t="n"/>
      <c r="G115" s="54" t="n"/>
      <c r="H115" s="54" t="n"/>
      <c r="I115" s="54" t="n"/>
      <c r="J115" s="54" t="n"/>
      <c r="K115" s="54" t="n"/>
      <c r="L115" s="54" t="n"/>
      <c r="M115" s="54" t="n"/>
      <c r="N115" s="54" t="n"/>
      <c r="O115" s="54" t="n"/>
      <c r="P115" s="54" t="n"/>
      <c r="Q115" s="54" t="n"/>
    </row>
    <row r="116">
      <c r="A116" s="54" t="n"/>
      <c r="B116" s="54" t="n"/>
      <c r="C116" s="54" t="n"/>
      <c r="D116" s="54" t="n"/>
      <c r="E116" s="54" t="n"/>
      <c r="F116" s="54" t="n"/>
      <c r="G116" s="54" t="n"/>
      <c r="H116" s="54" t="n"/>
      <c r="I116" s="54" t="n"/>
      <c r="J116" s="54" t="n"/>
      <c r="K116" s="54" t="n"/>
      <c r="L116" s="54" t="n"/>
      <c r="M116" s="54" t="n"/>
      <c r="N116" s="54" t="n"/>
      <c r="O116" s="54" t="n"/>
      <c r="P116" s="54" t="n"/>
      <c r="Q116" s="54" t="n"/>
    </row>
    <row r="117">
      <c r="A117" s="54" t="n"/>
      <c r="B117" s="54" t="n"/>
      <c r="C117" s="54" t="n"/>
      <c r="D117" s="54" t="n"/>
      <c r="E117" s="54" t="n"/>
      <c r="F117" s="54" t="n"/>
      <c r="G117" s="54" t="n"/>
      <c r="H117" s="54" t="n"/>
      <c r="I117" s="54" t="n"/>
      <c r="J117" s="54" t="n"/>
      <c r="K117" s="54" t="n"/>
      <c r="L117" s="54" t="n"/>
      <c r="M117" s="54" t="n"/>
      <c r="N117" s="54" t="n"/>
      <c r="O117" s="54" t="n"/>
      <c r="P117" s="54" t="n"/>
      <c r="Q117" s="54" t="n"/>
    </row>
    <row r="118">
      <c r="A118" s="54" t="n"/>
      <c r="B118" s="54" t="n"/>
      <c r="C118" s="54" t="n"/>
      <c r="D118" s="54" t="n"/>
      <c r="E118" s="54" t="n"/>
      <c r="F118" s="54" t="n"/>
      <c r="G118" s="54" t="n"/>
      <c r="H118" s="54" t="n"/>
      <c r="I118" s="54" t="n"/>
      <c r="J118" s="54" t="n"/>
      <c r="K118" s="54" t="n"/>
      <c r="L118" s="54" t="n"/>
      <c r="M118" s="54" t="n"/>
      <c r="N118" s="54" t="n"/>
      <c r="O118" s="54" t="n"/>
      <c r="P118" s="54" t="n"/>
      <c r="Q118" s="54" t="n"/>
    </row>
    <row r="119">
      <c r="A119" s="54" t="n"/>
      <c r="B119" s="54" t="n"/>
      <c r="C119" s="54" t="n"/>
      <c r="D119" s="54" t="n"/>
      <c r="E119" s="54" t="n"/>
      <c r="F119" s="54" t="n"/>
      <c r="G119" s="54" t="n"/>
      <c r="H119" s="54" t="n"/>
      <c r="I119" s="54" t="n"/>
      <c r="J119" s="54" t="n"/>
      <c r="K119" s="54" t="n"/>
      <c r="L119" s="54" t="n"/>
      <c r="M119" s="54" t="n"/>
      <c r="N119" s="54" t="n"/>
      <c r="O119" s="54" t="n"/>
      <c r="P119" s="54" t="n"/>
      <c r="Q119" s="54" t="n"/>
    </row>
    <row r="120">
      <c r="A120" s="54" t="n"/>
      <c r="B120" s="54" t="n"/>
      <c r="C120" s="54" t="n"/>
      <c r="D120" s="54" t="n"/>
      <c r="E120" s="54" t="n"/>
      <c r="F120" s="54" t="n"/>
      <c r="G120" s="54" t="n"/>
      <c r="H120" s="54" t="n"/>
      <c r="I120" s="54" t="n"/>
      <c r="J120" s="54" t="n"/>
      <c r="K120" s="54" t="n"/>
      <c r="L120" s="54" t="n"/>
      <c r="M120" s="54" t="n"/>
      <c r="N120" s="54" t="n"/>
      <c r="O120" s="54" t="n"/>
      <c r="P120" s="54" t="n"/>
      <c r="Q120" s="54" t="n"/>
    </row>
  </sheetData>
  <conditionalFormatting sqref="F5:F104">
    <cfRule type="colorScale" priority="1">
      <colorScale>
        <cfvo type="min"/>
        <cfvo type="percentile" val="50"/>
        <cfvo type="max"/>
        <color rgb="FFFCA5A5"/>
        <color rgb="FFFDE68A"/>
        <color rgb="FF86EFAC"/>
      </colorScale>
    </cfRule>
  </conditionalFormatting>
  <conditionalFormatting sqref="D5:D104">
    <cfRule type="containsText" priority="2" operator="containsText" dxfId="0" text="High"/>
    <cfRule type="containsText" priority="3" operator="containsText" dxfId="1" text="Risk"/>
  </conditionalFormatting>
  <dataValidations count="2">
    <dataValidation sqref="H5:H104" showDropDown="0" showInputMessage="0" showErrorMessage="0" allowBlank="1" type="list">
      <formula1>"可跟进,观察,差异化,避让/差异化,高风险观察"</formula1>
    </dataValidation>
    <dataValidation sqref="L5:L104" showDropDown="0" showInputMessage="0" showErrorMessage="0" allowBlank="1" type="list">
      <formula1>"active,watch,risk_watch,done,paused"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125"/>
  <sheetViews>
    <sheetView workbookViewId="0">
      <selection activeCell="A1" sqref="A1"/>
    </sheetView>
  </sheetViews>
  <sheetFormatPr baseColWidth="8" defaultRowHeight="15"/>
  <cols>
    <col width="15.5600004196167" customWidth="1" min="1" max="1"/>
    <col width="21.11000061035156" customWidth="1" min="2" max="2"/>
    <col width="24.44000053405762" customWidth="1" min="3" max="3"/>
    <col width="46.66999816894531" customWidth="1" min="4" max="4"/>
  </cols>
  <sheetData>
    <row r="1">
      <c r="A1" s="53" t="inlineStr">
        <is>
          <t>dictionary</t>
        </is>
      </c>
      <c r="B1" s="54" t="n"/>
      <c r="C1" s="54" t="n"/>
      <c r="D1" s="54" t="n"/>
      <c r="E1" s="54" t="n"/>
      <c r="F1" s="54" t="n"/>
      <c r="G1" s="54" t="n"/>
      <c r="H1" s="54" t="n"/>
      <c r="I1" s="54" t="n"/>
      <c r="J1" s="54" t="n"/>
      <c r="K1" s="54" t="n"/>
      <c r="L1" s="54" t="n"/>
      <c r="M1" s="54" t="n"/>
      <c r="N1" s="54" t="n"/>
      <c r="O1" s="54" t="n"/>
      <c r="P1" s="54" t="n"/>
      <c r="Q1" s="54" t="n"/>
    </row>
    <row r="2">
      <c r="A2" s="55" t="inlineStr">
        <is>
          <t>字段字典、平台入口、评分规则和合规边界。</t>
        </is>
      </c>
      <c r="B2" s="54" t="n"/>
      <c r="C2" s="54" t="n"/>
      <c r="D2" s="54" t="n"/>
      <c r="E2" s="54" t="n"/>
      <c r="F2" s="54" t="n"/>
      <c r="G2" s="54" t="n"/>
      <c r="H2" s="54" t="n"/>
      <c r="I2" s="54" t="n"/>
      <c r="J2" s="54" t="n"/>
      <c r="K2" s="54" t="n"/>
      <c r="L2" s="54" t="n"/>
      <c r="M2" s="54" t="n"/>
      <c r="N2" s="54" t="n"/>
      <c r="O2" s="54" t="n"/>
      <c r="P2" s="54" t="n"/>
      <c r="Q2" s="54" t="n"/>
    </row>
    <row r="3">
      <c r="A3" s="54" t="n"/>
      <c r="B3" s="54" t="n"/>
      <c r="C3" s="54" t="n"/>
      <c r="D3" s="54" t="n"/>
      <c r="E3" s="54" t="n"/>
      <c r="F3" s="54" t="n"/>
      <c r="G3" s="54" t="n"/>
      <c r="H3" s="54" t="n"/>
      <c r="I3" s="54" t="n"/>
      <c r="J3" s="54" t="n"/>
      <c r="K3" s="54" t="n"/>
      <c r="L3" s="54" t="n"/>
      <c r="M3" s="54" t="n"/>
      <c r="N3" s="54" t="n"/>
      <c r="O3" s="54" t="n"/>
      <c r="P3" s="54" t="n"/>
      <c r="Q3" s="54" t="n"/>
    </row>
    <row r="4">
      <c r="A4" s="56" t="inlineStr">
        <is>
          <t>section</t>
        </is>
      </c>
      <c r="B4" s="57" t="inlineStr">
        <is>
          <t>item</t>
        </is>
      </c>
      <c r="C4" s="57" t="inlineStr">
        <is>
          <t>value</t>
        </is>
      </c>
      <c r="D4" s="58" t="inlineStr">
        <is>
          <t>notes</t>
        </is>
      </c>
      <c r="E4" s="54" t="n"/>
      <c r="F4" s="54" t="n"/>
      <c r="G4" s="54" t="n"/>
      <c r="H4" s="54" t="n"/>
      <c r="I4" s="54" t="n"/>
      <c r="J4" s="54" t="n"/>
      <c r="K4" s="54" t="n"/>
      <c r="L4" s="54" t="n"/>
      <c r="M4" s="54" t="n"/>
      <c r="N4" s="54" t="n"/>
      <c r="O4" s="54" t="n"/>
      <c r="P4" s="54" t="n"/>
      <c r="Q4" s="54" t="n"/>
    </row>
    <row r="5">
      <c r="A5" s="38" t="inlineStr">
        <is>
          <t>source_platform</t>
        </is>
      </c>
      <c r="B5" s="39" t="inlineStr">
        <is>
          <t>TikTok Creative Center</t>
        </is>
      </c>
      <c r="C5" s="39" t="inlineStr">
        <is>
          <t>公开趋势入口</t>
        </is>
      </c>
      <c r="D5" s="40" t="inlineStr">
        <is>
          <t>热门 hashtag、歌曲、创作者、视频；按地区/行业/时间窗筛选。</t>
        </is>
      </c>
      <c r="E5" s="54" t="n"/>
      <c r="F5" s="54" t="n"/>
      <c r="G5" s="54" t="n"/>
      <c r="H5" s="54" t="n"/>
      <c r="I5" s="54" t="n"/>
      <c r="J5" s="54" t="n"/>
      <c r="K5" s="54" t="n"/>
      <c r="L5" s="54" t="n"/>
      <c r="M5" s="54" t="n"/>
      <c r="N5" s="54" t="n"/>
      <c r="O5" s="54" t="n"/>
      <c r="P5" s="54" t="n"/>
      <c r="Q5" s="54" t="n"/>
    </row>
    <row r="6">
      <c r="A6" s="41" t="inlineStr">
        <is>
          <t>source_platform</t>
        </is>
      </c>
      <c r="B6" s="42" t="inlineStr">
        <is>
          <t>Google Trends</t>
        </is>
      </c>
      <c r="C6" s="42" t="inlineStr">
        <is>
          <t>公开趋势/RSS</t>
        </is>
      </c>
      <c r="D6" s="43" t="inlineStr">
        <is>
          <t>Trending now 和搜索兴趣；适合捕捉泛热点。</t>
        </is>
      </c>
      <c r="E6" s="54" t="n"/>
      <c r="F6" s="54" t="n"/>
      <c r="G6" s="54" t="n"/>
      <c r="H6" s="54" t="n"/>
      <c r="I6" s="54" t="n"/>
      <c r="J6" s="54" t="n"/>
      <c r="K6" s="54" t="n"/>
      <c r="L6" s="54" t="n"/>
      <c r="M6" s="54" t="n"/>
      <c r="N6" s="54" t="n"/>
      <c r="O6" s="54" t="n"/>
      <c r="P6" s="54" t="n"/>
      <c r="Q6" s="54" t="n"/>
    </row>
    <row r="7">
      <c r="A7" s="41" t="inlineStr">
        <is>
          <t>source_platform</t>
        </is>
      </c>
      <c r="B7" s="42" t="inlineStr">
        <is>
          <t>YouTube</t>
        </is>
      </c>
      <c r="C7" s="42" t="inlineStr">
        <is>
          <t>公开 Trending/Charts</t>
        </is>
      </c>
      <c r="D7" s="43" t="inlineStr">
        <is>
          <t>标题、分类、排名/观看趋势；不采集登录态。</t>
        </is>
      </c>
      <c r="E7" s="54" t="n"/>
      <c r="F7" s="54" t="n"/>
      <c r="G7" s="54" t="n"/>
      <c r="H7" s="54" t="n"/>
      <c r="I7" s="54" t="n"/>
      <c r="J7" s="54" t="n"/>
      <c r="K7" s="54" t="n"/>
      <c r="L7" s="54" t="n"/>
      <c r="M7" s="54" t="n"/>
      <c r="N7" s="54" t="n"/>
      <c r="O7" s="54" t="n"/>
      <c r="P7" s="54" t="n"/>
      <c r="Q7" s="54" t="n"/>
    </row>
    <row r="8">
      <c r="A8" s="41" t="inlineStr">
        <is>
          <t>source_platform</t>
        </is>
      </c>
      <c r="B8" s="42" t="inlineStr">
        <is>
          <t>Reddit</t>
        </is>
      </c>
      <c r="C8" s="42" t="inlineStr">
        <is>
          <t>公开帖子/评论讨论</t>
        </is>
      </c>
      <c r="D8" s="43" t="inlineStr">
        <is>
          <t>只保留公开帖链接、标题摘要、聚合互动。</t>
        </is>
      </c>
      <c r="E8" s="54" t="n"/>
      <c r="F8" s="54" t="n"/>
      <c r="G8" s="54" t="n"/>
      <c r="H8" s="54" t="n"/>
      <c r="I8" s="54" t="n"/>
      <c r="J8" s="54" t="n"/>
      <c r="K8" s="54" t="n"/>
      <c r="L8" s="54" t="n"/>
      <c r="M8" s="54" t="n"/>
      <c r="N8" s="54" t="n"/>
      <c r="O8" s="54" t="n"/>
      <c r="P8" s="54" t="n"/>
      <c r="Q8" s="54" t="n"/>
    </row>
    <row r="9">
      <c r="A9" s="41" t="inlineStr">
        <is>
          <t>country_region</t>
        </is>
      </c>
      <c r="B9" s="42" t="inlineStr">
        <is>
          <t>默认</t>
        </is>
      </c>
      <c r="C9" s="42" t="inlineStr">
        <is>
          <t>US, UK, CA, AU</t>
        </is>
      </c>
      <c r="D9" s="43" t="inlineStr">
        <is>
          <t>第一阶段英语市场。</t>
        </is>
      </c>
      <c r="E9" s="54" t="n"/>
      <c r="F9" s="54" t="n"/>
      <c r="G9" s="54" t="n"/>
      <c r="H9" s="54" t="n"/>
      <c r="I9" s="54" t="n"/>
      <c r="J9" s="54" t="n"/>
      <c r="K9" s="54" t="n"/>
      <c r="L9" s="54" t="n"/>
      <c r="M9" s="54" t="n"/>
      <c r="N9" s="54" t="n"/>
      <c r="O9" s="54" t="n"/>
      <c r="P9" s="54" t="n"/>
      <c r="Q9" s="54" t="n"/>
    </row>
    <row r="10">
      <c r="A10" s="41" t="inlineStr">
        <is>
          <t>evidence_level</t>
        </is>
      </c>
      <c r="B10" s="42" t="inlineStr">
        <is>
          <t>A</t>
        </is>
      </c>
      <c r="C10" s="42" t="inlineStr">
        <is>
          <t>官方/平台可核验</t>
        </is>
      </c>
      <c r="D10" s="43" t="inlineStr">
        <is>
          <t>平台官方页面、官方 API 或官方趋势产品。</t>
        </is>
      </c>
      <c r="E10" s="54" t="n"/>
      <c r="F10" s="54" t="n"/>
      <c r="G10" s="54" t="n"/>
      <c r="H10" s="54" t="n"/>
      <c r="I10" s="54" t="n"/>
      <c r="J10" s="54" t="n"/>
      <c r="K10" s="54" t="n"/>
      <c r="L10" s="54" t="n"/>
      <c r="M10" s="54" t="n"/>
      <c r="N10" s="54" t="n"/>
      <c r="O10" s="54" t="n"/>
      <c r="P10" s="54" t="n"/>
      <c r="Q10" s="54" t="n"/>
    </row>
    <row r="11">
      <c r="A11" s="41" t="inlineStr">
        <is>
          <t>evidence_level</t>
        </is>
      </c>
      <c r="B11" s="42" t="inlineStr">
        <is>
          <t>B</t>
        </is>
      </c>
      <c r="C11" s="42" t="inlineStr">
        <is>
          <t>公开页面可回溯</t>
        </is>
      </c>
      <c r="D11" s="43" t="inlineStr">
        <is>
          <t>公开网页、搜索结果、公开帖子，可人工复查。</t>
        </is>
      </c>
      <c r="E11" s="54" t="n"/>
      <c r="F11" s="54" t="n"/>
      <c r="G11" s="54" t="n"/>
      <c r="H11" s="54" t="n"/>
      <c r="I11" s="54" t="n"/>
      <c r="J11" s="54" t="n"/>
      <c r="K11" s="54" t="n"/>
      <c r="L11" s="54" t="n"/>
      <c r="M11" s="54" t="n"/>
      <c r="N11" s="54" t="n"/>
      <c r="O11" s="54" t="n"/>
      <c r="P11" s="54" t="n"/>
      <c r="Q11" s="54" t="n"/>
    </row>
    <row r="12">
      <c r="A12" s="41" t="inlineStr">
        <is>
          <t>evidence_level</t>
        </is>
      </c>
      <c r="B12" s="42" t="inlineStr">
        <is>
          <t>C</t>
        </is>
      </c>
      <c r="C12" s="42" t="inlineStr">
        <is>
          <t>弱线索待核验</t>
        </is>
      </c>
      <c r="D12" s="43" t="inlineStr">
        <is>
          <t>第三方转述、低可回溯线索或样本量不足。</t>
        </is>
      </c>
      <c r="E12" s="54" t="n"/>
      <c r="F12" s="54" t="n"/>
      <c r="G12" s="54" t="n"/>
      <c r="H12" s="54" t="n"/>
      <c r="I12" s="54" t="n"/>
      <c r="J12" s="54" t="n"/>
      <c r="K12" s="54" t="n"/>
      <c r="L12" s="54" t="n"/>
      <c r="M12" s="54" t="n"/>
      <c r="N12" s="54" t="n"/>
      <c r="O12" s="54" t="n"/>
      <c r="P12" s="54" t="n"/>
      <c r="Q12" s="54" t="n"/>
    </row>
    <row r="13">
      <c r="A13" s="41" t="inlineStr">
        <is>
          <t>score</t>
        </is>
      </c>
      <c r="B13" s="42" t="inlineStr">
        <is>
          <t>heat_score</t>
        </is>
      </c>
      <c r="C13" s="42" t="inlineStr">
        <is>
          <t>0-100</t>
        </is>
      </c>
      <c r="D13" s="43" t="inlineStr">
        <is>
          <t>热度、排名、增长速度、跨平台出现频次综合。权重 35%。</t>
        </is>
      </c>
      <c r="E13" s="54" t="n"/>
      <c r="F13" s="54" t="n"/>
      <c r="G13" s="54" t="n"/>
      <c r="H13" s="54" t="n"/>
      <c r="I13" s="54" t="n"/>
      <c r="J13" s="54" t="n"/>
      <c r="K13" s="54" t="n"/>
      <c r="L13" s="54" t="n"/>
      <c r="M13" s="54" t="n"/>
      <c r="N13" s="54" t="n"/>
      <c r="O13" s="54" t="n"/>
      <c r="P13" s="54" t="n"/>
      <c r="Q13" s="54" t="n"/>
    </row>
    <row r="14">
      <c r="A14" s="41" t="inlineStr">
        <is>
          <t>score</t>
        </is>
      </c>
      <c r="B14" s="42" t="inlineStr">
        <is>
          <t>sentiment_score</t>
        </is>
      </c>
      <c r="C14" s="42" t="inlineStr">
        <is>
          <t>0-100</t>
        </is>
      </c>
      <c r="D14" s="43" t="inlineStr">
        <is>
          <t>评论/讨论中的情绪强度，不等同正负面。权重 25%。</t>
        </is>
      </c>
      <c r="E14" s="54" t="n"/>
      <c r="F14" s="54" t="n"/>
      <c r="G14" s="54" t="n"/>
      <c r="H14" s="54" t="n"/>
      <c r="I14" s="54" t="n"/>
      <c r="J14" s="54" t="n"/>
      <c r="K14" s="54" t="n"/>
      <c r="L14" s="54" t="n"/>
      <c r="M14" s="54" t="n"/>
      <c r="N14" s="54" t="n"/>
      <c r="O14" s="54" t="n"/>
      <c r="P14" s="54" t="n"/>
      <c r="Q14" s="54" t="n"/>
    </row>
    <row r="15">
      <c r="A15" s="41" t="inlineStr">
        <is>
          <t>score</t>
        </is>
      </c>
      <c r="B15" s="42" t="inlineStr">
        <is>
          <t>novelty_score</t>
        </is>
      </c>
      <c r="C15" s="42" t="inlineStr">
        <is>
          <t>0-100</t>
        </is>
      </c>
      <c r="D15" s="43" t="inlineStr">
        <is>
          <t>相对现有短剧供给的新鲜度/差异化。权重 20%。</t>
        </is>
      </c>
      <c r="E15" s="54" t="n"/>
      <c r="F15" s="54" t="n"/>
      <c r="G15" s="54" t="n"/>
      <c r="H15" s="54" t="n"/>
      <c r="I15" s="54" t="n"/>
      <c r="J15" s="54" t="n"/>
      <c r="K15" s="54" t="n"/>
      <c r="L15" s="54" t="n"/>
      <c r="M15" s="54" t="n"/>
      <c r="N15" s="54" t="n"/>
      <c r="O15" s="54" t="n"/>
      <c r="P15" s="54" t="n"/>
      <c r="Q15" s="54" t="n"/>
    </row>
    <row r="16">
      <c r="A16" s="41" t="inlineStr">
        <is>
          <t>score</t>
        </is>
      </c>
      <c r="B16" s="42" t="inlineStr">
        <is>
          <t>sustainability_score</t>
        </is>
      </c>
      <c r="C16" s="42" t="inlineStr">
        <is>
          <t>0-100</t>
        </is>
      </c>
      <c r="D16" s="43" t="inlineStr">
        <is>
          <t>是否可能持续超过单日热点。权重 10%。</t>
        </is>
      </c>
      <c r="E16" s="54" t="n"/>
      <c r="F16" s="54" t="n"/>
      <c r="G16" s="54" t="n"/>
      <c r="H16" s="54" t="n"/>
      <c r="I16" s="54" t="n"/>
      <c r="J16" s="54" t="n"/>
      <c r="K16" s="54" t="n"/>
      <c r="L16" s="54" t="n"/>
      <c r="M16" s="54" t="n"/>
      <c r="N16" s="54" t="n"/>
      <c r="O16" s="54" t="n"/>
      <c r="P16" s="54" t="n"/>
      <c r="Q16" s="54" t="n"/>
    </row>
    <row r="17">
      <c r="A17" s="41" t="inlineStr">
        <is>
          <t>score</t>
        </is>
      </c>
      <c r="B17" s="42" t="inlineStr">
        <is>
          <t>risk_penalty</t>
        </is>
      </c>
      <c r="C17" s="42" t="inlineStr">
        <is>
          <t>0/5/10</t>
        </is>
      </c>
      <c r="D17" s="43" t="inlineStr">
        <is>
          <t>Low=0, Medium=5, High=10，在 opportunity_score 中扣分。</t>
        </is>
      </c>
      <c r="E17" s="54" t="n"/>
      <c r="F17" s="54" t="n"/>
      <c r="G17" s="54" t="n"/>
      <c r="H17" s="54" t="n"/>
      <c r="I17" s="54" t="n"/>
      <c r="J17" s="54" t="n"/>
      <c r="K17" s="54" t="n"/>
      <c r="L17" s="54" t="n"/>
      <c r="M17" s="54" t="n"/>
      <c r="N17" s="54" t="n"/>
      <c r="O17" s="54" t="n"/>
      <c r="P17" s="54" t="n"/>
      <c r="Q17" s="54" t="n"/>
    </row>
    <row r="18">
      <c r="A18" s="41" t="inlineStr">
        <is>
          <t>compliance</t>
        </is>
      </c>
      <c r="B18" s="42" t="inlineStr">
        <is>
          <t>禁止</t>
        </is>
      </c>
      <c r="C18" s="42" t="inlineStr">
        <is>
          <t>私密账号/登录后内容/个人敏感信息</t>
        </is>
      </c>
      <c r="D18" s="43" t="inlineStr">
        <is>
          <t>v1 不做绕过、批量个人画像或不可回溯采集。</t>
        </is>
      </c>
      <c r="E18" s="54" t="n"/>
      <c r="F18" s="54" t="n"/>
      <c r="G18" s="54" t="n"/>
      <c r="H18" s="54" t="n"/>
      <c r="I18" s="54" t="n"/>
      <c r="J18" s="54" t="n"/>
      <c r="K18" s="54" t="n"/>
      <c r="L18" s="54" t="n"/>
      <c r="M18" s="54" t="n"/>
      <c r="N18" s="54" t="n"/>
      <c r="O18" s="54" t="n"/>
      <c r="P18" s="54" t="n"/>
      <c r="Q18" s="54" t="n"/>
    </row>
    <row r="19">
      <c r="A19" s="41" t="inlineStr">
        <is>
          <t>workflow</t>
        </is>
      </c>
      <c r="B19" s="42" t="inlineStr">
        <is>
          <t>周一</t>
        </is>
      </c>
      <c r="C19" s="42" t="inlineStr">
        <is>
          <t>回看过去 7 天</t>
        </is>
      </c>
      <c r="D19" s="43" t="inlineStr">
        <is>
          <t>先 raw_signals，再 topic_clusters，再 drama_angle_map，最后 weekly_watchlist。</t>
        </is>
      </c>
      <c r="E19" s="54" t="n"/>
      <c r="F19" s="54" t="n"/>
      <c r="G19" s="54" t="n"/>
      <c r="H19" s="54" t="n"/>
      <c r="I19" s="54" t="n"/>
      <c r="J19" s="54" t="n"/>
      <c r="K19" s="54" t="n"/>
      <c r="L19" s="54" t="n"/>
      <c r="M19" s="54" t="n"/>
      <c r="N19" s="54" t="n"/>
      <c r="O19" s="54" t="n"/>
      <c r="P19" s="54" t="n"/>
      <c r="Q19" s="54" t="n"/>
    </row>
    <row r="20">
      <c r="A20" s="41" t="inlineStr">
        <is>
          <t>existing_workbook</t>
        </is>
      </c>
      <c r="B20" s="42" t="inlineStr">
        <is>
          <t>AI短剧监控总表_v1.xlsx</t>
        </is>
      </c>
      <c r="C20" s="42" t="inlineStr">
        <is>
          <t>短剧供给/竞品样本库</t>
        </is>
      </c>
      <c r="D20" s="43" t="inlineStr">
        <is>
          <t>用于判断供给拥挤、可跟进、可错位和需规避。</t>
        </is>
      </c>
      <c r="E20" s="54" t="n"/>
      <c r="F20" s="54" t="n"/>
      <c r="G20" s="54" t="n"/>
      <c r="H20" s="54" t="n"/>
      <c r="I20" s="54" t="n"/>
      <c r="J20" s="54" t="n"/>
      <c r="K20" s="54" t="n"/>
      <c r="L20" s="54" t="n"/>
      <c r="M20" s="54" t="n"/>
      <c r="N20" s="54" t="n"/>
      <c r="O20" s="54" t="n"/>
      <c r="P20" s="54" t="n"/>
      <c r="Q20" s="54" t="n"/>
    </row>
    <row r="21">
      <c r="A21" s="41" t="n"/>
      <c r="B21" s="42" t="n"/>
      <c r="C21" s="42" t="n"/>
      <c r="D21" s="43" t="n"/>
      <c r="E21" s="54" t="n"/>
      <c r="F21" s="54" t="n"/>
      <c r="G21" s="54" t="n"/>
      <c r="H21" s="54" t="n"/>
      <c r="I21" s="54" t="n"/>
      <c r="J21" s="54" t="n"/>
      <c r="K21" s="54" t="n"/>
      <c r="L21" s="54" t="n"/>
      <c r="M21" s="54" t="n"/>
      <c r="N21" s="54" t="n"/>
      <c r="O21" s="54" t="n"/>
      <c r="P21" s="54" t="n"/>
      <c r="Q21" s="54" t="n"/>
    </row>
    <row r="22">
      <c r="A22" s="41" t="n"/>
      <c r="B22" s="42" t="n"/>
      <c r="C22" s="42" t="n"/>
      <c r="D22" s="43" t="n"/>
      <c r="E22" s="54" t="n"/>
      <c r="F22" s="54" t="n"/>
      <c r="G22" s="54" t="n"/>
      <c r="H22" s="54" t="n"/>
      <c r="I22" s="54" t="n"/>
      <c r="J22" s="54" t="n"/>
      <c r="K22" s="54" t="n"/>
      <c r="L22" s="54" t="n"/>
      <c r="M22" s="54" t="n"/>
      <c r="N22" s="54" t="n"/>
      <c r="O22" s="54" t="n"/>
      <c r="P22" s="54" t="n"/>
      <c r="Q22" s="54" t="n"/>
    </row>
    <row r="23">
      <c r="A23" s="41" t="n"/>
      <c r="B23" s="42" t="n"/>
      <c r="C23" s="42" t="n"/>
      <c r="D23" s="43" t="n"/>
      <c r="E23" s="54" t="n"/>
      <c r="F23" s="54" t="n"/>
      <c r="G23" s="54" t="n"/>
      <c r="H23" s="54" t="n"/>
      <c r="I23" s="54" t="n"/>
      <c r="J23" s="54" t="n"/>
      <c r="K23" s="54" t="n"/>
      <c r="L23" s="54" t="n"/>
      <c r="M23" s="54" t="n"/>
      <c r="N23" s="54" t="n"/>
      <c r="O23" s="54" t="n"/>
      <c r="P23" s="54" t="n"/>
      <c r="Q23" s="54" t="n"/>
    </row>
    <row r="24">
      <c r="A24" s="41" t="n"/>
      <c r="B24" s="42" t="n"/>
      <c r="C24" s="42" t="n"/>
      <c r="D24" s="43" t="n"/>
      <c r="E24" s="54" t="n"/>
      <c r="F24" s="54" t="n"/>
      <c r="G24" s="54" t="n"/>
      <c r="H24" s="54" t="n"/>
      <c r="I24" s="54" t="n"/>
      <c r="J24" s="54" t="n"/>
      <c r="K24" s="54" t="n"/>
      <c r="L24" s="54" t="n"/>
      <c r="M24" s="54" t="n"/>
      <c r="N24" s="54" t="n"/>
      <c r="O24" s="54" t="n"/>
      <c r="P24" s="54" t="n"/>
      <c r="Q24" s="54" t="n"/>
    </row>
    <row r="25">
      <c r="A25" s="41" t="n"/>
      <c r="B25" s="42" t="n"/>
      <c r="C25" s="42" t="n"/>
      <c r="D25" s="43" t="n"/>
      <c r="E25" s="54" t="n"/>
      <c r="F25" s="54" t="n"/>
      <c r="G25" s="54" t="n"/>
      <c r="H25" s="54" t="n"/>
      <c r="I25" s="54" t="n"/>
      <c r="J25" s="54" t="n"/>
      <c r="K25" s="54" t="n"/>
      <c r="L25" s="54" t="n"/>
      <c r="M25" s="54" t="n"/>
      <c r="N25" s="54" t="n"/>
      <c r="O25" s="54" t="n"/>
      <c r="P25" s="54" t="n"/>
      <c r="Q25" s="54" t="n"/>
    </row>
    <row r="26">
      <c r="A26" s="41" t="n"/>
      <c r="B26" s="42" t="n"/>
      <c r="C26" s="42" t="n"/>
      <c r="D26" s="43" t="n"/>
      <c r="E26" s="54" t="n"/>
      <c r="F26" s="54" t="n"/>
      <c r="G26" s="54" t="n"/>
      <c r="H26" s="54" t="n"/>
      <c r="I26" s="54" t="n"/>
      <c r="J26" s="54" t="n"/>
      <c r="K26" s="54" t="n"/>
      <c r="L26" s="54" t="n"/>
      <c r="M26" s="54" t="n"/>
      <c r="N26" s="54" t="n"/>
      <c r="O26" s="54" t="n"/>
      <c r="P26" s="54" t="n"/>
      <c r="Q26" s="54" t="n"/>
    </row>
    <row r="27">
      <c r="A27" s="41" t="n"/>
      <c r="B27" s="42" t="n"/>
      <c r="C27" s="42" t="n"/>
      <c r="D27" s="43" t="n"/>
      <c r="E27" s="54" t="n"/>
      <c r="F27" s="54" t="n"/>
      <c r="G27" s="54" t="n"/>
      <c r="H27" s="54" t="n"/>
      <c r="I27" s="54" t="n"/>
      <c r="J27" s="54" t="n"/>
      <c r="K27" s="54" t="n"/>
      <c r="L27" s="54" t="n"/>
      <c r="M27" s="54" t="n"/>
      <c r="N27" s="54" t="n"/>
      <c r="O27" s="54" t="n"/>
      <c r="P27" s="54" t="n"/>
      <c r="Q27" s="54" t="n"/>
    </row>
    <row r="28">
      <c r="A28" s="41" t="n"/>
      <c r="B28" s="42" t="n"/>
      <c r="C28" s="42" t="n"/>
      <c r="D28" s="43" t="n"/>
      <c r="E28" s="54" t="n"/>
      <c r="F28" s="54" t="n"/>
      <c r="G28" s="54" t="n"/>
      <c r="H28" s="54" t="n"/>
      <c r="I28" s="54" t="n"/>
      <c r="J28" s="54" t="n"/>
      <c r="K28" s="54" t="n"/>
      <c r="L28" s="54" t="n"/>
      <c r="M28" s="54" t="n"/>
      <c r="N28" s="54" t="n"/>
      <c r="O28" s="54" t="n"/>
      <c r="P28" s="54" t="n"/>
      <c r="Q28" s="54" t="n"/>
    </row>
    <row r="29">
      <c r="A29" s="41" t="n"/>
      <c r="B29" s="42" t="n"/>
      <c r="C29" s="42" t="n"/>
      <c r="D29" s="43" t="n"/>
      <c r="E29" s="54" t="n"/>
      <c r="F29" s="54" t="n"/>
      <c r="G29" s="54" t="n"/>
      <c r="H29" s="54" t="n"/>
      <c r="I29" s="54" t="n"/>
      <c r="J29" s="54" t="n"/>
      <c r="K29" s="54" t="n"/>
      <c r="L29" s="54" t="n"/>
      <c r="M29" s="54" t="n"/>
      <c r="N29" s="54" t="n"/>
      <c r="O29" s="54" t="n"/>
      <c r="P29" s="54" t="n"/>
      <c r="Q29" s="54" t="n"/>
    </row>
    <row r="30">
      <c r="A30" s="41" t="n"/>
      <c r="B30" s="42" t="n"/>
      <c r="C30" s="42" t="n"/>
      <c r="D30" s="43" t="n"/>
      <c r="E30" s="54" t="n"/>
      <c r="F30" s="54" t="n"/>
      <c r="G30" s="54" t="n"/>
      <c r="H30" s="54" t="n"/>
      <c r="I30" s="54" t="n"/>
      <c r="J30" s="54" t="n"/>
      <c r="K30" s="54" t="n"/>
      <c r="L30" s="54" t="n"/>
      <c r="M30" s="54" t="n"/>
      <c r="N30" s="54" t="n"/>
      <c r="O30" s="54" t="n"/>
      <c r="P30" s="54" t="n"/>
      <c r="Q30" s="54" t="n"/>
    </row>
    <row r="31">
      <c r="A31" s="41" t="n"/>
      <c r="B31" s="42" t="n"/>
      <c r="C31" s="42" t="n"/>
      <c r="D31" s="43" t="n"/>
      <c r="E31" s="54" t="n"/>
      <c r="F31" s="54" t="n"/>
      <c r="G31" s="54" t="n"/>
      <c r="H31" s="54" t="n"/>
      <c r="I31" s="54" t="n"/>
      <c r="J31" s="54" t="n"/>
      <c r="K31" s="54" t="n"/>
      <c r="L31" s="54" t="n"/>
      <c r="M31" s="54" t="n"/>
      <c r="N31" s="54" t="n"/>
      <c r="O31" s="54" t="n"/>
      <c r="P31" s="54" t="n"/>
      <c r="Q31" s="54" t="n"/>
    </row>
    <row r="32">
      <c r="A32" s="41" t="n"/>
      <c r="B32" s="42" t="n"/>
      <c r="C32" s="42" t="n"/>
      <c r="D32" s="43" t="n"/>
      <c r="E32" s="54" t="n"/>
      <c r="F32" s="54" t="n"/>
      <c r="G32" s="54" t="n"/>
      <c r="H32" s="54" t="n"/>
      <c r="I32" s="54" t="n"/>
      <c r="J32" s="54" t="n"/>
      <c r="K32" s="54" t="n"/>
      <c r="L32" s="54" t="n"/>
      <c r="M32" s="54" t="n"/>
      <c r="N32" s="54" t="n"/>
      <c r="O32" s="54" t="n"/>
      <c r="P32" s="54" t="n"/>
      <c r="Q32" s="54" t="n"/>
    </row>
    <row r="33">
      <c r="A33" s="41" t="n"/>
      <c r="B33" s="42" t="n"/>
      <c r="C33" s="42" t="n"/>
      <c r="D33" s="43" t="n"/>
      <c r="E33" s="54" t="n"/>
      <c r="F33" s="54" t="n"/>
      <c r="G33" s="54" t="n"/>
      <c r="H33" s="54" t="n"/>
      <c r="I33" s="54" t="n"/>
      <c r="J33" s="54" t="n"/>
      <c r="K33" s="54" t="n"/>
      <c r="L33" s="54" t="n"/>
      <c r="M33" s="54" t="n"/>
      <c r="N33" s="54" t="n"/>
      <c r="O33" s="54" t="n"/>
      <c r="P33" s="54" t="n"/>
      <c r="Q33" s="54" t="n"/>
    </row>
    <row r="34">
      <c r="A34" s="41" t="n"/>
      <c r="B34" s="42" t="n"/>
      <c r="C34" s="42" t="n"/>
      <c r="D34" s="43" t="n"/>
      <c r="E34" s="54" t="n"/>
      <c r="F34" s="54" t="n"/>
      <c r="G34" s="54" t="n"/>
      <c r="H34" s="54" t="n"/>
      <c r="I34" s="54" t="n"/>
      <c r="J34" s="54" t="n"/>
      <c r="K34" s="54" t="n"/>
      <c r="L34" s="54" t="n"/>
      <c r="M34" s="54" t="n"/>
      <c r="N34" s="54" t="n"/>
      <c r="O34" s="54" t="n"/>
      <c r="P34" s="54" t="n"/>
      <c r="Q34" s="54" t="n"/>
    </row>
    <row r="35">
      <c r="A35" s="41" t="n"/>
      <c r="B35" s="42" t="n"/>
      <c r="C35" s="42" t="n"/>
      <c r="D35" s="43" t="n"/>
      <c r="E35" s="54" t="n"/>
      <c r="F35" s="54" t="n"/>
      <c r="G35" s="54" t="n"/>
      <c r="H35" s="54" t="n"/>
      <c r="I35" s="54" t="n"/>
      <c r="J35" s="54" t="n"/>
      <c r="K35" s="54" t="n"/>
      <c r="L35" s="54" t="n"/>
      <c r="M35" s="54" t="n"/>
      <c r="N35" s="54" t="n"/>
      <c r="O35" s="54" t="n"/>
      <c r="P35" s="54" t="n"/>
      <c r="Q35" s="54" t="n"/>
    </row>
    <row r="36">
      <c r="A36" s="41" t="n"/>
      <c r="B36" s="42" t="n"/>
      <c r="C36" s="42" t="n"/>
      <c r="D36" s="43" t="n"/>
      <c r="E36" s="54" t="n"/>
      <c r="F36" s="54" t="n"/>
      <c r="G36" s="54" t="n"/>
      <c r="H36" s="54" t="n"/>
      <c r="I36" s="54" t="n"/>
      <c r="J36" s="54" t="n"/>
      <c r="K36" s="54" t="n"/>
      <c r="L36" s="54" t="n"/>
      <c r="M36" s="54" t="n"/>
      <c r="N36" s="54" t="n"/>
      <c r="O36" s="54" t="n"/>
      <c r="P36" s="54" t="n"/>
      <c r="Q36" s="54" t="n"/>
    </row>
    <row r="37">
      <c r="A37" s="41" t="n"/>
      <c r="B37" s="42" t="n"/>
      <c r="C37" s="42" t="n"/>
      <c r="D37" s="43" t="n"/>
      <c r="E37" s="54" t="n"/>
      <c r="F37" s="54" t="n"/>
      <c r="G37" s="54" t="n"/>
      <c r="H37" s="54" t="n"/>
      <c r="I37" s="54" t="n"/>
      <c r="J37" s="54" t="n"/>
      <c r="K37" s="54" t="n"/>
      <c r="L37" s="54" t="n"/>
      <c r="M37" s="54" t="n"/>
      <c r="N37" s="54" t="n"/>
      <c r="O37" s="54" t="n"/>
      <c r="P37" s="54" t="n"/>
      <c r="Q37" s="54" t="n"/>
    </row>
    <row r="38">
      <c r="A38" s="41" t="n"/>
      <c r="B38" s="42" t="n"/>
      <c r="C38" s="42" t="n"/>
      <c r="D38" s="43" t="n"/>
      <c r="E38" s="54" t="n"/>
      <c r="F38" s="54" t="n"/>
      <c r="G38" s="54" t="n"/>
      <c r="H38" s="54" t="n"/>
      <c r="I38" s="54" t="n"/>
      <c r="J38" s="54" t="n"/>
      <c r="K38" s="54" t="n"/>
      <c r="L38" s="54" t="n"/>
      <c r="M38" s="54" t="n"/>
      <c r="N38" s="54" t="n"/>
      <c r="O38" s="54" t="n"/>
      <c r="P38" s="54" t="n"/>
      <c r="Q38" s="54" t="n"/>
    </row>
    <row r="39">
      <c r="A39" s="41" t="n"/>
      <c r="B39" s="42" t="n"/>
      <c r="C39" s="42" t="n"/>
      <c r="D39" s="43" t="n"/>
      <c r="E39" s="54" t="n"/>
      <c r="F39" s="54" t="n"/>
      <c r="G39" s="54" t="n"/>
      <c r="H39" s="54" t="n"/>
      <c r="I39" s="54" t="n"/>
      <c r="J39" s="54" t="n"/>
      <c r="K39" s="54" t="n"/>
      <c r="L39" s="54" t="n"/>
      <c r="M39" s="54" t="n"/>
      <c r="N39" s="54" t="n"/>
      <c r="O39" s="54" t="n"/>
      <c r="P39" s="54" t="n"/>
      <c r="Q39" s="54" t="n"/>
    </row>
    <row r="40">
      <c r="A40" s="44" t="n"/>
      <c r="B40" s="45" t="n"/>
      <c r="C40" s="45" t="n"/>
      <c r="D40" s="46" t="n"/>
      <c r="E40" s="54" t="n"/>
      <c r="F40" s="54" t="n"/>
      <c r="G40" s="54" t="n"/>
      <c r="H40" s="54" t="n"/>
      <c r="I40" s="54" t="n"/>
      <c r="J40" s="54" t="n"/>
      <c r="K40" s="54" t="n"/>
      <c r="L40" s="54" t="n"/>
      <c r="M40" s="54" t="n"/>
      <c r="N40" s="54" t="n"/>
      <c r="O40" s="54" t="n"/>
      <c r="P40" s="54" t="n"/>
      <c r="Q40" s="54" t="n"/>
    </row>
    <row r="41">
      <c r="A41" s="54" t="n"/>
      <c r="B41" s="54" t="n"/>
      <c r="C41" s="54" t="n"/>
      <c r="D41" s="54" t="n"/>
      <c r="E41" s="54" t="n"/>
      <c r="F41" s="54" t="n"/>
      <c r="G41" s="54" t="n"/>
      <c r="H41" s="54" t="n"/>
      <c r="I41" s="54" t="n"/>
      <c r="J41" s="54" t="n"/>
      <c r="K41" s="54" t="n"/>
      <c r="L41" s="54" t="n"/>
      <c r="M41" s="54" t="n"/>
      <c r="N41" s="54" t="n"/>
      <c r="O41" s="54" t="n"/>
      <c r="P41" s="54" t="n"/>
      <c r="Q41" s="54" t="n"/>
    </row>
    <row r="42">
      <c r="A42" s="54" t="n"/>
      <c r="B42" s="54" t="n"/>
      <c r="C42" s="54" t="n"/>
      <c r="D42" s="54" t="n"/>
      <c r="E42" s="54" t="n"/>
      <c r="F42" s="54" t="n"/>
      <c r="G42" s="54" t="n"/>
      <c r="H42" s="54" t="n"/>
      <c r="I42" s="54" t="n"/>
      <c r="J42" s="54" t="n"/>
      <c r="K42" s="54" t="n"/>
      <c r="L42" s="54" t="n"/>
      <c r="M42" s="54" t="n"/>
      <c r="N42" s="54" t="n"/>
      <c r="O42" s="54" t="n"/>
      <c r="P42" s="54" t="n"/>
      <c r="Q42" s="54" t="n"/>
    </row>
    <row r="43">
      <c r="A43" s="54" t="n"/>
      <c r="B43" s="54" t="n"/>
      <c r="C43" s="54" t="n"/>
      <c r="D43" s="54" t="n"/>
      <c r="E43" s="54" t="n"/>
      <c r="F43" s="54" t="n"/>
      <c r="G43" s="54" t="n"/>
      <c r="H43" s="54" t="n"/>
      <c r="I43" s="54" t="n"/>
      <c r="J43" s="54" t="n"/>
      <c r="K43" s="54" t="n"/>
      <c r="L43" s="54" t="n"/>
      <c r="M43" s="54" t="n"/>
      <c r="N43" s="54" t="n"/>
      <c r="O43" s="54" t="n"/>
      <c r="P43" s="54" t="n"/>
      <c r="Q43" s="54" t="n"/>
    </row>
    <row r="44">
      <c r="A44" s="54" t="n"/>
      <c r="B44" s="54" t="n"/>
      <c r="C44" s="54" t="n"/>
      <c r="D44" s="54" t="n"/>
      <c r="E44" s="54" t="n"/>
      <c r="F44" s="54" t="n"/>
      <c r="G44" s="54" t="n"/>
      <c r="H44" s="54" t="n"/>
      <c r="I44" s="54" t="n"/>
      <c r="J44" s="54" t="n"/>
      <c r="K44" s="54" t="n"/>
      <c r="L44" s="54" t="n"/>
      <c r="M44" s="54" t="n"/>
      <c r="N44" s="54" t="n"/>
      <c r="O44" s="54" t="n"/>
      <c r="P44" s="54" t="n"/>
      <c r="Q44" s="54" t="n"/>
    </row>
    <row r="45">
      <c r="A45" s="54" t="n"/>
      <c r="B45" s="54" t="n"/>
      <c r="C45" s="54" t="n"/>
      <c r="D45" s="54" t="n"/>
      <c r="E45" s="54" t="n"/>
      <c r="F45" s="54" t="n"/>
      <c r="G45" s="54" t="n"/>
      <c r="H45" s="54" t="n"/>
      <c r="I45" s="54" t="n"/>
      <c r="J45" s="54" t="n"/>
      <c r="K45" s="54" t="n"/>
      <c r="L45" s="54" t="n"/>
      <c r="M45" s="54" t="n"/>
      <c r="N45" s="54" t="n"/>
      <c r="O45" s="54" t="n"/>
      <c r="P45" s="54" t="n"/>
      <c r="Q45" s="54" t="n"/>
    </row>
    <row r="46">
      <c r="A46" s="54" t="n"/>
      <c r="B46" s="54" t="n"/>
      <c r="C46" s="54" t="n"/>
      <c r="D46" s="54" t="n"/>
      <c r="E46" s="54" t="n"/>
      <c r="F46" s="54" t="n"/>
      <c r="G46" s="54" t="n"/>
      <c r="H46" s="54" t="n"/>
      <c r="I46" s="54" t="n"/>
      <c r="J46" s="54" t="n"/>
      <c r="K46" s="54" t="n"/>
      <c r="L46" s="54" t="n"/>
      <c r="M46" s="54" t="n"/>
      <c r="N46" s="54" t="n"/>
      <c r="O46" s="54" t="n"/>
      <c r="P46" s="54" t="n"/>
      <c r="Q46" s="54" t="n"/>
    </row>
    <row r="47">
      <c r="A47" s="54" t="n"/>
      <c r="B47" s="54" t="n"/>
      <c r="C47" s="54" t="n"/>
      <c r="D47" s="54" t="n"/>
      <c r="E47" s="54" t="n"/>
      <c r="F47" s="54" t="n"/>
      <c r="G47" s="54" t="n"/>
      <c r="H47" s="54" t="n"/>
      <c r="I47" s="54" t="n"/>
      <c r="J47" s="54" t="n"/>
      <c r="K47" s="54" t="n"/>
      <c r="L47" s="54" t="n"/>
      <c r="M47" s="54" t="n"/>
      <c r="N47" s="54" t="n"/>
      <c r="O47" s="54" t="n"/>
      <c r="P47" s="54" t="n"/>
      <c r="Q47" s="54" t="n"/>
    </row>
    <row r="48">
      <c r="A48" s="54" t="n"/>
      <c r="B48" s="54" t="n"/>
      <c r="C48" s="54" t="n"/>
      <c r="D48" s="54" t="n"/>
      <c r="E48" s="54" t="n"/>
      <c r="F48" s="54" t="n"/>
      <c r="G48" s="54" t="n"/>
      <c r="H48" s="54" t="n"/>
      <c r="I48" s="54" t="n"/>
      <c r="J48" s="54" t="n"/>
      <c r="K48" s="54" t="n"/>
      <c r="L48" s="54" t="n"/>
      <c r="M48" s="54" t="n"/>
      <c r="N48" s="54" t="n"/>
      <c r="O48" s="54" t="n"/>
      <c r="P48" s="54" t="n"/>
      <c r="Q48" s="54" t="n"/>
    </row>
    <row r="49">
      <c r="A49" s="54" t="n"/>
      <c r="B49" s="54" t="n"/>
      <c r="C49" s="54" t="n"/>
      <c r="D49" s="54" t="n"/>
      <c r="E49" s="54" t="n"/>
      <c r="F49" s="54" t="n"/>
      <c r="G49" s="54" t="n"/>
      <c r="H49" s="54" t="n"/>
      <c r="I49" s="54" t="n"/>
      <c r="J49" s="54" t="n"/>
      <c r="K49" s="54" t="n"/>
      <c r="L49" s="54" t="n"/>
      <c r="M49" s="54" t="n"/>
      <c r="N49" s="54" t="n"/>
      <c r="O49" s="54" t="n"/>
      <c r="P49" s="54" t="n"/>
      <c r="Q49" s="54" t="n"/>
    </row>
    <row r="50">
      <c r="A50" s="54" t="n"/>
      <c r="B50" s="54" t="n"/>
      <c r="C50" s="54" t="n"/>
      <c r="D50" s="54" t="n"/>
      <c r="E50" s="54" t="n"/>
      <c r="F50" s="54" t="n"/>
      <c r="G50" s="54" t="n"/>
      <c r="H50" s="54" t="n"/>
      <c r="I50" s="54" t="n"/>
      <c r="J50" s="54" t="n"/>
      <c r="K50" s="54" t="n"/>
      <c r="L50" s="54" t="n"/>
      <c r="M50" s="54" t="n"/>
      <c r="N50" s="54" t="n"/>
      <c r="O50" s="54" t="n"/>
      <c r="P50" s="54" t="n"/>
      <c r="Q50" s="54" t="n"/>
    </row>
    <row r="51">
      <c r="A51" s="54" t="n"/>
      <c r="B51" s="54" t="n"/>
      <c r="C51" s="54" t="n"/>
      <c r="D51" s="54" t="n"/>
      <c r="E51" s="54" t="n"/>
      <c r="F51" s="54" t="n"/>
      <c r="G51" s="54" t="n"/>
      <c r="H51" s="54" t="n"/>
      <c r="I51" s="54" t="n"/>
      <c r="J51" s="54" t="n"/>
      <c r="K51" s="54" t="n"/>
      <c r="L51" s="54" t="n"/>
      <c r="M51" s="54" t="n"/>
      <c r="N51" s="54" t="n"/>
      <c r="O51" s="54" t="n"/>
      <c r="P51" s="54" t="n"/>
      <c r="Q51" s="54" t="n"/>
    </row>
    <row r="52">
      <c r="A52" s="54" t="n"/>
      <c r="B52" s="54" t="n"/>
      <c r="C52" s="54" t="n"/>
      <c r="D52" s="54" t="n"/>
      <c r="E52" s="54" t="n"/>
      <c r="F52" s="54" t="n"/>
      <c r="G52" s="54" t="n"/>
      <c r="H52" s="54" t="n"/>
      <c r="I52" s="54" t="n"/>
      <c r="J52" s="54" t="n"/>
      <c r="K52" s="54" t="n"/>
      <c r="L52" s="54" t="n"/>
      <c r="M52" s="54" t="n"/>
      <c r="N52" s="54" t="n"/>
      <c r="O52" s="54" t="n"/>
      <c r="P52" s="54" t="n"/>
      <c r="Q52" s="54" t="n"/>
    </row>
    <row r="53">
      <c r="A53" s="54" t="n"/>
      <c r="B53" s="54" t="n"/>
      <c r="C53" s="54" t="n"/>
      <c r="D53" s="54" t="n"/>
      <c r="E53" s="54" t="n"/>
      <c r="F53" s="54" t="n"/>
      <c r="G53" s="54" t="n"/>
      <c r="H53" s="54" t="n"/>
      <c r="I53" s="54" t="n"/>
      <c r="J53" s="54" t="n"/>
      <c r="K53" s="54" t="n"/>
      <c r="L53" s="54" t="n"/>
      <c r="M53" s="54" t="n"/>
      <c r="N53" s="54" t="n"/>
      <c r="O53" s="54" t="n"/>
      <c r="P53" s="54" t="n"/>
      <c r="Q53" s="54" t="n"/>
    </row>
    <row r="54">
      <c r="A54" s="54" t="n"/>
      <c r="B54" s="54" t="n"/>
      <c r="C54" s="54" t="n"/>
      <c r="D54" s="54" t="n"/>
      <c r="E54" s="54" t="n"/>
      <c r="F54" s="54" t="n"/>
      <c r="G54" s="54" t="n"/>
      <c r="H54" s="54" t="n"/>
      <c r="I54" s="54" t="n"/>
      <c r="J54" s="54" t="n"/>
      <c r="K54" s="54" t="n"/>
      <c r="L54" s="54" t="n"/>
      <c r="M54" s="54" t="n"/>
      <c r="N54" s="54" t="n"/>
      <c r="O54" s="54" t="n"/>
      <c r="P54" s="54" t="n"/>
      <c r="Q54" s="54" t="n"/>
    </row>
    <row r="55">
      <c r="A55" s="54" t="n"/>
      <c r="B55" s="54" t="n"/>
      <c r="C55" s="54" t="n"/>
      <c r="D55" s="54" t="n"/>
      <c r="E55" s="54" t="n"/>
      <c r="F55" s="54" t="n"/>
      <c r="G55" s="54" t="n"/>
      <c r="H55" s="54" t="n"/>
      <c r="I55" s="54" t="n"/>
      <c r="J55" s="54" t="n"/>
      <c r="K55" s="54" t="n"/>
      <c r="L55" s="54" t="n"/>
      <c r="M55" s="54" t="n"/>
      <c r="N55" s="54" t="n"/>
      <c r="O55" s="54" t="n"/>
      <c r="P55" s="54" t="n"/>
      <c r="Q55" s="54" t="n"/>
    </row>
    <row r="56">
      <c r="A56" s="54" t="n"/>
      <c r="B56" s="54" t="n"/>
      <c r="C56" s="54" t="n"/>
      <c r="D56" s="54" t="n"/>
      <c r="E56" s="54" t="n"/>
      <c r="F56" s="54" t="n"/>
      <c r="G56" s="54" t="n"/>
      <c r="H56" s="54" t="n"/>
      <c r="I56" s="54" t="n"/>
      <c r="J56" s="54" t="n"/>
      <c r="K56" s="54" t="n"/>
      <c r="L56" s="54" t="n"/>
      <c r="M56" s="54" t="n"/>
      <c r="N56" s="54" t="n"/>
      <c r="O56" s="54" t="n"/>
      <c r="P56" s="54" t="n"/>
      <c r="Q56" s="54" t="n"/>
    </row>
    <row r="57">
      <c r="A57" s="54" t="n"/>
      <c r="B57" s="54" t="n"/>
      <c r="C57" s="54" t="n"/>
      <c r="D57" s="54" t="n"/>
      <c r="E57" s="54" t="n"/>
      <c r="F57" s="54" t="n"/>
      <c r="G57" s="54" t="n"/>
      <c r="H57" s="54" t="n"/>
      <c r="I57" s="54" t="n"/>
      <c r="J57" s="54" t="n"/>
      <c r="K57" s="54" t="n"/>
      <c r="L57" s="54" t="n"/>
      <c r="M57" s="54" t="n"/>
      <c r="N57" s="54" t="n"/>
      <c r="O57" s="54" t="n"/>
      <c r="P57" s="54" t="n"/>
      <c r="Q57" s="54" t="n"/>
    </row>
    <row r="58">
      <c r="A58" s="54" t="n"/>
      <c r="B58" s="54" t="n"/>
      <c r="C58" s="54" t="n"/>
      <c r="D58" s="54" t="n"/>
      <c r="E58" s="54" t="n"/>
      <c r="F58" s="54" t="n"/>
      <c r="G58" s="54" t="n"/>
      <c r="H58" s="54" t="n"/>
      <c r="I58" s="54" t="n"/>
      <c r="J58" s="54" t="n"/>
      <c r="K58" s="54" t="n"/>
      <c r="L58" s="54" t="n"/>
      <c r="M58" s="54" t="n"/>
      <c r="N58" s="54" t="n"/>
      <c r="O58" s="54" t="n"/>
      <c r="P58" s="54" t="n"/>
      <c r="Q58" s="54" t="n"/>
    </row>
    <row r="59">
      <c r="A59" s="54" t="n"/>
      <c r="B59" s="54" t="n"/>
      <c r="C59" s="54" t="n"/>
      <c r="D59" s="54" t="n"/>
      <c r="E59" s="54" t="n"/>
      <c r="F59" s="54" t="n"/>
      <c r="G59" s="54" t="n"/>
      <c r="H59" s="54" t="n"/>
      <c r="I59" s="54" t="n"/>
      <c r="J59" s="54" t="n"/>
      <c r="K59" s="54" t="n"/>
      <c r="L59" s="54" t="n"/>
      <c r="M59" s="54" t="n"/>
      <c r="N59" s="54" t="n"/>
      <c r="O59" s="54" t="n"/>
      <c r="P59" s="54" t="n"/>
      <c r="Q59" s="54" t="n"/>
    </row>
    <row r="60">
      <c r="A60" s="54" t="n"/>
      <c r="B60" s="54" t="n"/>
      <c r="C60" s="54" t="n"/>
      <c r="D60" s="54" t="n"/>
      <c r="E60" s="54" t="n"/>
      <c r="F60" s="54" t="n"/>
      <c r="G60" s="54" t="n"/>
      <c r="H60" s="54" t="n"/>
      <c r="I60" s="54" t="n"/>
      <c r="J60" s="54" t="n"/>
      <c r="K60" s="54" t="n"/>
      <c r="L60" s="54" t="n"/>
      <c r="M60" s="54" t="n"/>
      <c r="N60" s="54" t="n"/>
      <c r="O60" s="54" t="n"/>
      <c r="P60" s="54" t="n"/>
      <c r="Q60" s="54" t="n"/>
    </row>
    <row r="61">
      <c r="A61" s="54" t="n"/>
      <c r="B61" s="54" t="n"/>
      <c r="C61" s="54" t="n"/>
      <c r="D61" s="54" t="n"/>
      <c r="E61" s="54" t="n"/>
      <c r="F61" s="54" t="n"/>
      <c r="G61" s="54" t="n"/>
      <c r="H61" s="54" t="n"/>
      <c r="I61" s="54" t="n"/>
      <c r="J61" s="54" t="n"/>
      <c r="K61" s="54" t="n"/>
      <c r="L61" s="54" t="n"/>
      <c r="M61" s="54" t="n"/>
      <c r="N61" s="54" t="n"/>
      <c r="O61" s="54" t="n"/>
      <c r="P61" s="54" t="n"/>
      <c r="Q61" s="54" t="n"/>
    </row>
    <row r="62">
      <c r="A62" s="54" t="n"/>
      <c r="B62" s="54" t="n"/>
      <c r="C62" s="54" t="n"/>
      <c r="D62" s="54" t="n"/>
      <c r="E62" s="54" t="n"/>
      <c r="F62" s="54" t="n"/>
      <c r="G62" s="54" t="n"/>
      <c r="H62" s="54" t="n"/>
      <c r="I62" s="54" t="n"/>
      <c r="J62" s="54" t="n"/>
      <c r="K62" s="54" t="n"/>
      <c r="L62" s="54" t="n"/>
      <c r="M62" s="54" t="n"/>
      <c r="N62" s="54" t="n"/>
      <c r="O62" s="54" t="n"/>
      <c r="P62" s="54" t="n"/>
      <c r="Q62" s="54" t="n"/>
    </row>
    <row r="63">
      <c r="A63" s="54" t="n"/>
      <c r="B63" s="54" t="n"/>
      <c r="C63" s="54" t="n"/>
      <c r="D63" s="54" t="n"/>
      <c r="E63" s="54" t="n"/>
      <c r="F63" s="54" t="n"/>
      <c r="G63" s="54" t="n"/>
      <c r="H63" s="54" t="n"/>
      <c r="I63" s="54" t="n"/>
      <c r="J63" s="54" t="n"/>
      <c r="K63" s="54" t="n"/>
      <c r="L63" s="54" t="n"/>
      <c r="M63" s="54" t="n"/>
      <c r="N63" s="54" t="n"/>
      <c r="O63" s="54" t="n"/>
      <c r="P63" s="54" t="n"/>
      <c r="Q63" s="54" t="n"/>
    </row>
    <row r="64">
      <c r="A64" s="54" t="n"/>
      <c r="B64" s="54" t="n"/>
      <c r="C64" s="54" t="n"/>
      <c r="D64" s="54" t="n"/>
      <c r="E64" s="54" t="n"/>
      <c r="F64" s="54" t="n"/>
      <c r="G64" s="54" t="n"/>
      <c r="H64" s="54" t="n"/>
      <c r="I64" s="54" t="n"/>
      <c r="J64" s="54" t="n"/>
      <c r="K64" s="54" t="n"/>
      <c r="L64" s="54" t="n"/>
      <c r="M64" s="54" t="n"/>
      <c r="N64" s="54" t="n"/>
      <c r="O64" s="54" t="n"/>
      <c r="P64" s="54" t="n"/>
      <c r="Q64" s="54" t="n"/>
    </row>
    <row r="65">
      <c r="A65" s="54" t="n"/>
      <c r="B65" s="54" t="n"/>
      <c r="C65" s="54" t="n"/>
      <c r="D65" s="54" t="n"/>
      <c r="E65" s="54" t="n"/>
      <c r="F65" s="54" t="n"/>
      <c r="G65" s="54" t="n"/>
      <c r="H65" s="54" t="n"/>
      <c r="I65" s="54" t="n"/>
      <c r="J65" s="54" t="n"/>
      <c r="K65" s="54" t="n"/>
      <c r="L65" s="54" t="n"/>
      <c r="M65" s="54" t="n"/>
      <c r="N65" s="54" t="n"/>
      <c r="O65" s="54" t="n"/>
      <c r="P65" s="54" t="n"/>
      <c r="Q65" s="54" t="n"/>
    </row>
    <row r="66">
      <c r="A66" s="54" t="n"/>
      <c r="B66" s="54" t="n"/>
      <c r="C66" s="54" t="n"/>
      <c r="D66" s="54" t="n"/>
      <c r="E66" s="54" t="n"/>
      <c r="F66" s="54" t="n"/>
      <c r="G66" s="54" t="n"/>
      <c r="H66" s="54" t="n"/>
      <c r="I66" s="54" t="n"/>
      <c r="J66" s="54" t="n"/>
      <c r="K66" s="54" t="n"/>
      <c r="L66" s="54" t="n"/>
      <c r="M66" s="54" t="n"/>
      <c r="N66" s="54" t="n"/>
      <c r="O66" s="54" t="n"/>
      <c r="P66" s="54" t="n"/>
      <c r="Q66" s="54" t="n"/>
    </row>
    <row r="67">
      <c r="A67" s="54" t="n"/>
      <c r="B67" s="54" t="n"/>
      <c r="C67" s="54" t="n"/>
      <c r="D67" s="54" t="n"/>
      <c r="E67" s="54" t="n"/>
      <c r="F67" s="54" t="n"/>
      <c r="G67" s="54" t="n"/>
      <c r="H67" s="54" t="n"/>
      <c r="I67" s="54" t="n"/>
      <c r="J67" s="54" t="n"/>
      <c r="K67" s="54" t="n"/>
      <c r="L67" s="54" t="n"/>
      <c r="M67" s="54" t="n"/>
      <c r="N67" s="54" t="n"/>
      <c r="O67" s="54" t="n"/>
      <c r="P67" s="54" t="n"/>
      <c r="Q67" s="54" t="n"/>
    </row>
    <row r="68">
      <c r="A68" s="54" t="n"/>
      <c r="B68" s="54" t="n"/>
      <c r="C68" s="54" t="n"/>
      <c r="D68" s="54" t="n"/>
      <c r="E68" s="54" t="n"/>
      <c r="F68" s="54" t="n"/>
      <c r="G68" s="54" t="n"/>
      <c r="H68" s="54" t="n"/>
      <c r="I68" s="54" t="n"/>
      <c r="J68" s="54" t="n"/>
      <c r="K68" s="54" t="n"/>
      <c r="L68" s="54" t="n"/>
      <c r="M68" s="54" t="n"/>
      <c r="N68" s="54" t="n"/>
      <c r="O68" s="54" t="n"/>
      <c r="P68" s="54" t="n"/>
      <c r="Q68" s="54" t="n"/>
    </row>
    <row r="69">
      <c r="A69" s="54" t="n"/>
      <c r="B69" s="54" t="n"/>
      <c r="C69" s="54" t="n"/>
      <c r="D69" s="54" t="n"/>
      <c r="E69" s="54" t="n"/>
      <c r="F69" s="54" t="n"/>
      <c r="G69" s="54" t="n"/>
      <c r="H69" s="54" t="n"/>
      <c r="I69" s="54" t="n"/>
      <c r="J69" s="54" t="n"/>
      <c r="K69" s="54" t="n"/>
      <c r="L69" s="54" t="n"/>
      <c r="M69" s="54" t="n"/>
      <c r="N69" s="54" t="n"/>
      <c r="O69" s="54" t="n"/>
      <c r="P69" s="54" t="n"/>
      <c r="Q69" s="54" t="n"/>
    </row>
    <row r="70">
      <c r="A70" s="54" t="n"/>
      <c r="B70" s="54" t="n"/>
      <c r="C70" s="54" t="n"/>
      <c r="D70" s="54" t="n"/>
      <c r="E70" s="54" t="n"/>
      <c r="F70" s="54" t="n"/>
      <c r="G70" s="54" t="n"/>
      <c r="H70" s="54" t="n"/>
      <c r="I70" s="54" t="n"/>
      <c r="J70" s="54" t="n"/>
      <c r="K70" s="54" t="n"/>
      <c r="L70" s="54" t="n"/>
      <c r="M70" s="54" t="n"/>
      <c r="N70" s="54" t="n"/>
      <c r="O70" s="54" t="n"/>
      <c r="P70" s="54" t="n"/>
      <c r="Q70" s="54" t="n"/>
    </row>
    <row r="71">
      <c r="A71" s="54" t="n"/>
      <c r="B71" s="54" t="n"/>
      <c r="C71" s="54" t="n"/>
      <c r="D71" s="54" t="n"/>
      <c r="E71" s="54" t="n"/>
      <c r="F71" s="54" t="n"/>
      <c r="G71" s="54" t="n"/>
      <c r="H71" s="54" t="n"/>
      <c r="I71" s="54" t="n"/>
      <c r="J71" s="54" t="n"/>
      <c r="K71" s="54" t="n"/>
      <c r="L71" s="54" t="n"/>
      <c r="M71" s="54" t="n"/>
      <c r="N71" s="54" t="n"/>
      <c r="O71" s="54" t="n"/>
      <c r="P71" s="54" t="n"/>
      <c r="Q71" s="54" t="n"/>
    </row>
    <row r="72">
      <c r="A72" s="54" t="n"/>
      <c r="B72" s="54" t="n"/>
      <c r="C72" s="54" t="n"/>
      <c r="D72" s="54" t="n"/>
      <c r="E72" s="54" t="n"/>
      <c r="F72" s="54" t="n"/>
      <c r="G72" s="54" t="n"/>
      <c r="H72" s="54" t="n"/>
      <c r="I72" s="54" t="n"/>
      <c r="J72" s="54" t="n"/>
      <c r="K72" s="54" t="n"/>
      <c r="L72" s="54" t="n"/>
      <c r="M72" s="54" t="n"/>
      <c r="N72" s="54" t="n"/>
      <c r="O72" s="54" t="n"/>
      <c r="P72" s="54" t="n"/>
      <c r="Q72" s="54" t="n"/>
    </row>
    <row r="73">
      <c r="A73" s="54" t="n"/>
      <c r="B73" s="54" t="n"/>
      <c r="C73" s="54" t="n"/>
      <c r="D73" s="54" t="n"/>
      <c r="E73" s="54" t="n"/>
      <c r="F73" s="54" t="n"/>
      <c r="G73" s="54" t="n"/>
      <c r="H73" s="54" t="n"/>
      <c r="I73" s="54" t="n"/>
      <c r="J73" s="54" t="n"/>
      <c r="K73" s="54" t="n"/>
      <c r="L73" s="54" t="n"/>
      <c r="M73" s="54" t="n"/>
      <c r="N73" s="54" t="n"/>
      <c r="O73" s="54" t="n"/>
      <c r="P73" s="54" t="n"/>
      <c r="Q73" s="54" t="n"/>
    </row>
    <row r="74">
      <c r="A74" s="54" t="n"/>
      <c r="B74" s="54" t="n"/>
      <c r="C74" s="54" t="n"/>
      <c r="D74" s="54" t="n"/>
      <c r="E74" s="54" t="n"/>
      <c r="F74" s="54" t="n"/>
      <c r="G74" s="54" t="n"/>
      <c r="H74" s="54" t="n"/>
      <c r="I74" s="54" t="n"/>
      <c r="J74" s="54" t="n"/>
      <c r="K74" s="54" t="n"/>
      <c r="L74" s="54" t="n"/>
      <c r="M74" s="54" t="n"/>
      <c r="N74" s="54" t="n"/>
      <c r="O74" s="54" t="n"/>
      <c r="P74" s="54" t="n"/>
      <c r="Q74" s="54" t="n"/>
    </row>
    <row r="75">
      <c r="A75" s="54" t="n"/>
      <c r="B75" s="54" t="n"/>
      <c r="C75" s="54" t="n"/>
      <c r="D75" s="54" t="n"/>
      <c r="E75" s="54" t="n"/>
      <c r="F75" s="54" t="n"/>
      <c r="G75" s="54" t="n"/>
      <c r="H75" s="54" t="n"/>
      <c r="I75" s="54" t="n"/>
      <c r="J75" s="54" t="n"/>
      <c r="K75" s="54" t="n"/>
      <c r="L75" s="54" t="n"/>
      <c r="M75" s="54" t="n"/>
      <c r="N75" s="54" t="n"/>
      <c r="O75" s="54" t="n"/>
      <c r="P75" s="54" t="n"/>
      <c r="Q75" s="54" t="n"/>
    </row>
    <row r="76">
      <c r="A76" s="54" t="n"/>
      <c r="B76" s="54" t="n"/>
      <c r="C76" s="54" t="n"/>
      <c r="D76" s="54" t="n"/>
      <c r="E76" s="54" t="n"/>
      <c r="F76" s="54" t="n"/>
      <c r="G76" s="54" t="n"/>
      <c r="H76" s="54" t="n"/>
      <c r="I76" s="54" t="n"/>
      <c r="J76" s="54" t="n"/>
      <c r="K76" s="54" t="n"/>
      <c r="L76" s="54" t="n"/>
      <c r="M76" s="54" t="n"/>
      <c r="N76" s="54" t="n"/>
      <c r="O76" s="54" t="n"/>
      <c r="P76" s="54" t="n"/>
      <c r="Q76" s="54" t="n"/>
    </row>
    <row r="77">
      <c r="A77" s="54" t="n"/>
      <c r="B77" s="54" t="n"/>
      <c r="C77" s="54" t="n"/>
      <c r="D77" s="54" t="n"/>
      <c r="E77" s="54" t="n"/>
      <c r="F77" s="54" t="n"/>
      <c r="G77" s="54" t="n"/>
      <c r="H77" s="54" t="n"/>
      <c r="I77" s="54" t="n"/>
      <c r="J77" s="54" t="n"/>
      <c r="K77" s="54" t="n"/>
      <c r="L77" s="54" t="n"/>
      <c r="M77" s="54" t="n"/>
      <c r="N77" s="54" t="n"/>
      <c r="O77" s="54" t="n"/>
      <c r="P77" s="54" t="n"/>
      <c r="Q77" s="54" t="n"/>
    </row>
    <row r="78">
      <c r="A78" s="54" t="n"/>
      <c r="B78" s="54" t="n"/>
      <c r="C78" s="54" t="n"/>
      <c r="D78" s="54" t="n"/>
      <c r="E78" s="54" t="n"/>
      <c r="F78" s="54" t="n"/>
      <c r="G78" s="54" t="n"/>
      <c r="H78" s="54" t="n"/>
      <c r="I78" s="54" t="n"/>
      <c r="J78" s="54" t="n"/>
      <c r="K78" s="54" t="n"/>
      <c r="L78" s="54" t="n"/>
      <c r="M78" s="54" t="n"/>
      <c r="N78" s="54" t="n"/>
      <c r="O78" s="54" t="n"/>
      <c r="P78" s="54" t="n"/>
      <c r="Q78" s="54" t="n"/>
    </row>
    <row r="79">
      <c r="A79" s="54" t="n"/>
      <c r="B79" s="54" t="n"/>
      <c r="C79" s="54" t="n"/>
      <c r="D79" s="54" t="n"/>
      <c r="E79" s="54" t="n"/>
      <c r="F79" s="54" t="n"/>
      <c r="G79" s="54" t="n"/>
      <c r="H79" s="54" t="n"/>
      <c r="I79" s="54" t="n"/>
      <c r="J79" s="54" t="n"/>
      <c r="K79" s="54" t="n"/>
      <c r="L79" s="54" t="n"/>
      <c r="M79" s="54" t="n"/>
      <c r="N79" s="54" t="n"/>
      <c r="O79" s="54" t="n"/>
      <c r="P79" s="54" t="n"/>
      <c r="Q79" s="54" t="n"/>
    </row>
    <row r="80">
      <c r="A80" s="54" t="n"/>
      <c r="B80" s="54" t="n"/>
      <c r="C80" s="54" t="n"/>
      <c r="D80" s="54" t="n"/>
      <c r="E80" s="54" t="n"/>
      <c r="F80" s="54" t="n"/>
      <c r="G80" s="54" t="n"/>
      <c r="H80" s="54" t="n"/>
      <c r="I80" s="54" t="n"/>
      <c r="J80" s="54" t="n"/>
      <c r="K80" s="54" t="n"/>
      <c r="L80" s="54" t="n"/>
      <c r="M80" s="54" t="n"/>
      <c r="N80" s="54" t="n"/>
      <c r="O80" s="54" t="n"/>
      <c r="P80" s="54" t="n"/>
      <c r="Q80" s="54" t="n"/>
    </row>
    <row r="81">
      <c r="A81" s="54" t="n"/>
      <c r="B81" s="54" t="n"/>
      <c r="C81" s="54" t="n"/>
      <c r="D81" s="54" t="n"/>
      <c r="E81" s="54" t="n"/>
      <c r="F81" s="54" t="n"/>
      <c r="G81" s="54" t="n"/>
      <c r="H81" s="54" t="n"/>
      <c r="I81" s="54" t="n"/>
      <c r="J81" s="54" t="n"/>
      <c r="K81" s="54" t="n"/>
      <c r="L81" s="54" t="n"/>
      <c r="M81" s="54" t="n"/>
      <c r="N81" s="54" t="n"/>
      <c r="O81" s="54" t="n"/>
      <c r="P81" s="54" t="n"/>
      <c r="Q81" s="54" t="n"/>
    </row>
    <row r="82">
      <c r="A82" s="54" t="n"/>
      <c r="B82" s="54" t="n"/>
      <c r="C82" s="54" t="n"/>
      <c r="D82" s="54" t="n"/>
      <c r="E82" s="54" t="n"/>
      <c r="F82" s="54" t="n"/>
      <c r="G82" s="54" t="n"/>
      <c r="H82" s="54" t="n"/>
      <c r="I82" s="54" t="n"/>
      <c r="J82" s="54" t="n"/>
      <c r="K82" s="54" t="n"/>
      <c r="L82" s="54" t="n"/>
      <c r="M82" s="54" t="n"/>
      <c r="N82" s="54" t="n"/>
      <c r="O82" s="54" t="n"/>
      <c r="P82" s="54" t="n"/>
      <c r="Q82" s="54" t="n"/>
    </row>
    <row r="83">
      <c r="A83" s="54" t="n"/>
      <c r="B83" s="54" t="n"/>
      <c r="C83" s="54" t="n"/>
      <c r="D83" s="54" t="n"/>
      <c r="E83" s="54" t="n"/>
      <c r="F83" s="54" t="n"/>
      <c r="G83" s="54" t="n"/>
      <c r="H83" s="54" t="n"/>
      <c r="I83" s="54" t="n"/>
      <c r="J83" s="54" t="n"/>
      <c r="K83" s="54" t="n"/>
      <c r="L83" s="54" t="n"/>
      <c r="M83" s="54" t="n"/>
      <c r="N83" s="54" t="n"/>
      <c r="O83" s="54" t="n"/>
      <c r="P83" s="54" t="n"/>
      <c r="Q83" s="54" t="n"/>
    </row>
    <row r="84">
      <c r="A84" s="54" t="n"/>
      <c r="B84" s="54" t="n"/>
      <c r="C84" s="54" t="n"/>
      <c r="D84" s="54" t="n"/>
      <c r="E84" s="54" t="n"/>
      <c r="F84" s="54" t="n"/>
      <c r="G84" s="54" t="n"/>
      <c r="H84" s="54" t="n"/>
      <c r="I84" s="54" t="n"/>
      <c r="J84" s="54" t="n"/>
      <c r="K84" s="54" t="n"/>
      <c r="L84" s="54" t="n"/>
      <c r="M84" s="54" t="n"/>
      <c r="N84" s="54" t="n"/>
      <c r="O84" s="54" t="n"/>
      <c r="P84" s="54" t="n"/>
      <c r="Q84" s="54" t="n"/>
    </row>
    <row r="85">
      <c r="A85" s="54" t="n"/>
      <c r="B85" s="54" t="n"/>
      <c r="C85" s="54" t="n"/>
      <c r="D85" s="54" t="n"/>
      <c r="E85" s="54" t="n"/>
      <c r="F85" s="54" t="n"/>
      <c r="G85" s="54" t="n"/>
      <c r="H85" s="54" t="n"/>
      <c r="I85" s="54" t="n"/>
      <c r="J85" s="54" t="n"/>
      <c r="K85" s="54" t="n"/>
      <c r="L85" s="54" t="n"/>
      <c r="M85" s="54" t="n"/>
      <c r="N85" s="54" t="n"/>
      <c r="O85" s="54" t="n"/>
      <c r="P85" s="54" t="n"/>
      <c r="Q85" s="54" t="n"/>
    </row>
    <row r="86">
      <c r="A86" s="54" t="n"/>
      <c r="B86" s="54" t="n"/>
      <c r="C86" s="54" t="n"/>
      <c r="D86" s="54" t="n"/>
      <c r="E86" s="54" t="n"/>
      <c r="F86" s="54" t="n"/>
      <c r="G86" s="54" t="n"/>
      <c r="H86" s="54" t="n"/>
      <c r="I86" s="54" t="n"/>
      <c r="J86" s="54" t="n"/>
      <c r="K86" s="54" t="n"/>
      <c r="L86" s="54" t="n"/>
      <c r="M86" s="54" t="n"/>
      <c r="N86" s="54" t="n"/>
      <c r="O86" s="54" t="n"/>
      <c r="P86" s="54" t="n"/>
      <c r="Q86" s="54" t="n"/>
    </row>
    <row r="87">
      <c r="A87" s="54" t="n"/>
      <c r="B87" s="54" t="n"/>
      <c r="C87" s="54" t="n"/>
      <c r="D87" s="54" t="n"/>
      <c r="E87" s="54" t="n"/>
      <c r="F87" s="54" t="n"/>
      <c r="G87" s="54" t="n"/>
      <c r="H87" s="54" t="n"/>
      <c r="I87" s="54" t="n"/>
      <c r="J87" s="54" t="n"/>
      <c r="K87" s="54" t="n"/>
      <c r="L87" s="54" t="n"/>
      <c r="M87" s="54" t="n"/>
      <c r="N87" s="54" t="n"/>
      <c r="O87" s="54" t="n"/>
      <c r="P87" s="54" t="n"/>
      <c r="Q87" s="54" t="n"/>
    </row>
    <row r="88">
      <c r="A88" s="54" t="n"/>
      <c r="B88" s="54" t="n"/>
      <c r="C88" s="54" t="n"/>
      <c r="D88" s="54" t="n"/>
      <c r="E88" s="54" t="n"/>
      <c r="F88" s="54" t="n"/>
      <c r="G88" s="54" t="n"/>
      <c r="H88" s="54" t="n"/>
      <c r="I88" s="54" t="n"/>
      <c r="J88" s="54" t="n"/>
      <c r="K88" s="54" t="n"/>
      <c r="L88" s="54" t="n"/>
      <c r="M88" s="54" t="n"/>
      <c r="N88" s="54" t="n"/>
      <c r="O88" s="54" t="n"/>
      <c r="P88" s="54" t="n"/>
      <c r="Q88" s="54" t="n"/>
    </row>
    <row r="89">
      <c r="A89" s="54" t="n"/>
      <c r="B89" s="54" t="n"/>
      <c r="C89" s="54" t="n"/>
      <c r="D89" s="54" t="n"/>
      <c r="E89" s="54" t="n"/>
      <c r="F89" s="54" t="n"/>
      <c r="G89" s="54" t="n"/>
      <c r="H89" s="54" t="n"/>
      <c r="I89" s="54" t="n"/>
      <c r="J89" s="54" t="n"/>
      <c r="K89" s="54" t="n"/>
      <c r="L89" s="54" t="n"/>
      <c r="M89" s="54" t="n"/>
      <c r="N89" s="54" t="n"/>
      <c r="O89" s="54" t="n"/>
      <c r="P89" s="54" t="n"/>
      <c r="Q89" s="54" t="n"/>
    </row>
    <row r="90">
      <c r="A90" s="54" t="n"/>
      <c r="B90" s="54" t="n"/>
      <c r="C90" s="54" t="n"/>
      <c r="D90" s="54" t="n"/>
      <c r="E90" s="54" t="n"/>
      <c r="F90" s="54" t="n"/>
      <c r="G90" s="54" t="n"/>
      <c r="H90" s="54" t="n"/>
      <c r="I90" s="54" t="n"/>
      <c r="J90" s="54" t="n"/>
      <c r="K90" s="54" t="n"/>
      <c r="L90" s="54" t="n"/>
      <c r="M90" s="54" t="n"/>
      <c r="N90" s="54" t="n"/>
      <c r="O90" s="54" t="n"/>
      <c r="P90" s="54" t="n"/>
      <c r="Q90" s="54" t="n"/>
    </row>
    <row r="91">
      <c r="A91" s="54" t="n"/>
      <c r="B91" s="54" t="n"/>
      <c r="C91" s="54" t="n"/>
      <c r="D91" s="54" t="n"/>
      <c r="E91" s="54" t="n"/>
      <c r="F91" s="54" t="n"/>
      <c r="G91" s="54" t="n"/>
      <c r="H91" s="54" t="n"/>
      <c r="I91" s="54" t="n"/>
      <c r="J91" s="54" t="n"/>
      <c r="K91" s="54" t="n"/>
      <c r="L91" s="54" t="n"/>
      <c r="M91" s="54" t="n"/>
      <c r="N91" s="54" t="n"/>
      <c r="O91" s="54" t="n"/>
      <c r="P91" s="54" t="n"/>
      <c r="Q91" s="54" t="n"/>
    </row>
    <row r="92">
      <c r="A92" s="54" t="n"/>
      <c r="B92" s="54" t="n"/>
      <c r="C92" s="54" t="n"/>
      <c r="D92" s="54" t="n"/>
      <c r="E92" s="54" t="n"/>
      <c r="F92" s="54" t="n"/>
      <c r="G92" s="54" t="n"/>
      <c r="H92" s="54" t="n"/>
      <c r="I92" s="54" t="n"/>
      <c r="J92" s="54" t="n"/>
      <c r="K92" s="54" t="n"/>
      <c r="L92" s="54" t="n"/>
      <c r="M92" s="54" t="n"/>
      <c r="N92" s="54" t="n"/>
      <c r="O92" s="54" t="n"/>
      <c r="P92" s="54" t="n"/>
      <c r="Q92" s="54" t="n"/>
    </row>
    <row r="93">
      <c r="A93" s="54" t="n"/>
      <c r="B93" s="54" t="n"/>
      <c r="C93" s="54" t="n"/>
      <c r="D93" s="54" t="n"/>
      <c r="E93" s="54" t="n"/>
      <c r="F93" s="54" t="n"/>
      <c r="G93" s="54" t="n"/>
      <c r="H93" s="54" t="n"/>
      <c r="I93" s="54" t="n"/>
      <c r="J93" s="54" t="n"/>
      <c r="K93" s="54" t="n"/>
      <c r="L93" s="54" t="n"/>
      <c r="M93" s="54" t="n"/>
      <c r="N93" s="54" t="n"/>
      <c r="O93" s="54" t="n"/>
      <c r="P93" s="54" t="n"/>
      <c r="Q93" s="54" t="n"/>
    </row>
    <row r="94">
      <c r="A94" s="54" t="n"/>
      <c r="B94" s="54" t="n"/>
      <c r="C94" s="54" t="n"/>
      <c r="D94" s="54" t="n"/>
      <c r="E94" s="54" t="n"/>
      <c r="F94" s="54" t="n"/>
      <c r="G94" s="54" t="n"/>
      <c r="H94" s="54" t="n"/>
      <c r="I94" s="54" t="n"/>
      <c r="J94" s="54" t="n"/>
      <c r="K94" s="54" t="n"/>
      <c r="L94" s="54" t="n"/>
      <c r="M94" s="54" t="n"/>
      <c r="N94" s="54" t="n"/>
      <c r="O94" s="54" t="n"/>
      <c r="P94" s="54" t="n"/>
      <c r="Q94" s="54" t="n"/>
    </row>
    <row r="95">
      <c r="A95" s="54" t="n"/>
      <c r="B95" s="54" t="n"/>
      <c r="C95" s="54" t="n"/>
      <c r="D95" s="54" t="n"/>
      <c r="E95" s="54" t="n"/>
      <c r="F95" s="54" t="n"/>
      <c r="G95" s="54" t="n"/>
      <c r="H95" s="54" t="n"/>
      <c r="I95" s="54" t="n"/>
      <c r="J95" s="54" t="n"/>
      <c r="K95" s="54" t="n"/>
      <c r="L95" s="54" t="n"/>
      <c r="M95" s="54" t="n"/>
      <c r="N95" s="54" t="n"/>
      <c r="O95" s="54" t="n"/>
      <c r="P95" s="54" t="n"/>
      <c r="Q95" s="54" t="n"/>
    </row>
    <row r="96">
      <c r="A96" s="54" t="n"/>
      <c r="B96" s="54" t="n"/>
      <c r="C96" s="54" t="n"/>
      <c r="D96" s="54" t="n"/>
      <c r="E96" s="54" t="n"/>
      <c r="F96" s="54" t="n"/>
      <c r="G96" s="54" t="n"/>
      <c r="H96" s="54" t="n"/>
      <c r="I96" s="54" t="n"/>
      <c r="J96" s="54" t="n"/>
      <c r="K96" s="54" t="n"/>
      <c r="L96" s="54" t="n"/>
      <c r="M96" s="54" t="n"/>
      <c r="N96" s="54" t="n"/>
      <c r="O96" s="54" t="n"/>
      <c r="P96" s="54" t="n"/>
      <c r="Q96" s="54" t="n"/>
    </row>
    <row r="97">
      <c r="A97" s="54" t="n"/>
      <c r="B97" s="54" t="n"/>
      <c r="C97" s="54" t="n"/>
      <c r="D97" s="54" t="n"/>
      <c r="E97" s="54" t="n"/>
      <c r="F97" s="54" t="n"/>
      <c r="G97" s="54" t="n"/>
      <c r="H97" s="54" t="n"/>
      <c r="I97" s="54" t="n"/>
      <c r="J97" s="54" t="n"/>
      <c r="K97" s="54" t="n"/>
      <c r="L97" s="54" t="n"/>
      <c r="M97" s="54" t="n"/>
      <c r="N97" s="54" t="n"/>
      <c r="O97" s="54" t="n"/>
      <c r="P97" s="54" t="n"/>
      <c r="Q97" s="54" t="n"/>
    </row>
    <row r="98">
      <c r="A98" s="54" t="n"/>
      <c r="B98" s="54" t="n"/>
      <c r="C98" s="54" t="n"/>
      <c r="D98" s="54" t="n"/>
      <c r="E98" s="54" t="n"/>
      <c r="F98" s="54" t="n"/>
      <c r="G98" s="54" t="n"/>
      <c r="H98" s="54" t="n"/>
      <c r="I98" s="54" t="n"/>
      <c r="J98" s="54" t="n"/>
      <c r="K98" s="54" t="n"/>
      <c r="L98" s="54" t="n"/>
      <c r="M98" s="54" t="n"/>
      <c r="N98" s="54" t="n"/>
      <c r="O98" s="54" t="n"/>
      <c r="P98" s="54" t="n"/>
      <c r="Q98" s="54" t="n"/>
    </row>
    <row r="99">
      <c r="A99" s="54" t="n"/>
      <c r="B99" s="54" t="n"/>
      <c r="C99" s="54" t="n"/>
      <c r="D99" s="54" t="n"/>
      <c r="E99" s="54" t="n"/>
      <c r="F99" s="54" t="n"/>
      <c r="G99" s="54" t="n"/>
      <c r="H99" s="54" t="n"/>
      <c r="I99" s="54" t="n"/>
      <c r="J99" s="54" t="n"/>
      <c r="K99" s="54" t="n"/>
      <c r="L99" s="54" t="n"/>
      <c r="M99" s="54" t="n"/>
      <c r="N99" s="54" t="n"/>
      <c r="O99" s="54" t="n"/>
      <c r="P99" s="54" t="n"/>
      <c r="Q99" s="54" t="n"/>
    </row>
    <row r="100">
      <c r="A100" s="54" t="n"/>
      <c r="B100" s="54" t="n"/>
      <c r="C100" s="54" t="n"/>
      <c r="D100" s="54" t="n"/>
      <c r="E100" s="54" t="n"/>
      <c r="F100" s="54" t="n"/>
      <c r="G100" s="54" t="n"/>
      <c r="H100" s="54" t="n"/>
      <c r="I100" s="54" t="n"/>
      <c r="J100" s="54" t="n"/>
      <c r="K100" s="54" t="n"/>
      <c r="L100" s="54" t="n"/>
      <c r="M100" s="54" t="n"/>
      <c r="N100" s="54" t="n"/>
      <c r="O100" s="54" t="n"/>
      <c r="P100" s="54" t="n"/>
      <c r="Q100" s="54" t="n"/>
    </row>
    <row r="101">
      <c r="A101" s="54" t="n"/>
      <c r="B101" s="54" t="n"/>
      <c r="C101" s="54" t="n"/>
      <c r="D101" s="54" t="n"/>
      <c r="E101" s="54" t="n"/>
      <c r="F101" s="54" t="n"/>
      <c r="G101" s="54" t="n"/>
      <c r="H101" s="54" t="n"/>
      <c r="I101" s="54" t="n"/>
      <c r="J101" s="54" t="n"/>
      <c r="K101" s="54" t="n"/>
      <c r="L101" s="54" t="n"/>
      <c r="M101" s="54" t="n"/>
      <c r="N101" s="54" t="n"/>
      <c r="O101" s="54" t="n"/>
      <c r="P101" s="54" t="n"/>
      <c r="Q101" s="54" t="n"/>
    </row>
    <row r="102">
      <c r="A102" s="54" t="n"/>
      <c r="B102" s="54" t="n"/>
      <c r="C102" s="54" t="n"/>
      <c r="D102" s="54" t="n"/>
      <c r="E102" s="54" t="n"/>
      <c r="F102" s="54" t="n"/>
      <c r="G102" s="54" t="n"/>
      <c r="H102" s="54" t="n"/>
      <c r="I102" s="54" t="n"/>
      <c r="J102" s="54" t="n"/>
      <c r="K102" s="54" t="n"/>
      <c r="L102" s="54" t="n"/>
      <c r="M102" s="54" t="n"/>
      <c r="N102" s="54" t="n"/>
      <c r="O102" s="54" t="n"/>
      <c r="P102" s="54" t="n"/>
      <c r="Q102" s="54" t="n"/>
    </row>
    <row r="103">
      <c r="A103" s="54" t="n"/>
      <c r="B103" s="54" t="n"/>
      <c r="C103" s="54" t="n"/>
      <c r="D103" s="54" t="n"/>
      <c r="E103" s="54" t="n"/>
      <c r="F103" s="54" t="n"/>
      <c r="G103" s="54" t="n"/>
      <c r="H103" s="54" t="n"/>
      <c r="I103" s="54" t="n"/>
      <c r="J103" s="54" t="n"/>
      <c r="K103" s="54" t="n"/>
      <c r="L103" s="54" t="n"/>
      <c r="M103" s="54" t="n"/>
      <c r="N103" s="54" t="n"/>
      <c r="O103" s="54" t="n"/>
      <c r="P103" s="54" t="n"/>
      <c r="Q103" s="54" t="n"/>
    </row>
    <row r="104">
      <c r="A104" s="54" t="n"/>
      <c r="B104" s="54" t="n"/>
      <c r="C104" s="54" t="n"/>
      <c r="D104" s="54" t="n"/>
      <c r="E104" s="54" t="n"/>
      <c r="F104" s="54" t="n"/>
      <c r="G104" s="54" t="n"/>
      <c r="H104" s="54" t="n"/>
      <c r="I104" s="54" t="n"/>
      <c r="J104" s="54" t="n"/>
      <c r="K104" s="54" t="n"/>
      <c r="L104" s="54" t="n"/>
      <c r="M104" s="54" t="n"/>
      <c r="N104" s="54" t="n"/>
      <c r="O104" s="54" t="n"/>
      <c r="P104" s="54" t="n"/>
      <c r="Q104" s="54" t="n"/>
    </row>
    <row r="105">
      <c r="A105" s="54" t="n"/>
      <c r="B105" s="54" t="n"/>
      <c r="C105" s="54" t="n"/>
      <c r="D105" s="54" t="n"/>
      <c r="E105" s="54" t="n"/>
      <c r="F105" s="54" t="n"/>
      <c r="G105" s="54" t="n"/>
      <c r="H105" s="54" t="n"/>
      <c r="I105" s="54" t="n"/>
      <c r="J105" s="54" t="n"/>
      <c r="K105" s="54" t="n"/>
      <c r="L105" s="54" t="n"/>
      <c r="M105" s="54" t="n"/>
      <c r="N105" s="54" t="n"/>
      <c r="O105" s="54" t="n"/>
      <c r="P105" s="54" t="n"/>
      <c r="Q105" s="54" t="n"/>
    </row>
    <row r="106">
      <c r="A106" s="54" t="n"/>
      <c r="B106" s="54" t="n"/>
      <c r="C106" s="54" t="n"/>
      <c r="D106" s="54" t="n"/>
      <c r="E106" s="54" t="n"/>
      <c r="F106" s="54" t="n"/>
      <c r="G106" s="54" t="n"/>
      <c r="H106" s="54" t="n"/>
      <c r="I106" s="54" t="n"/>
      <c r="J106" s="54" t="n"/>
      <c r="K106" s="54" t="n"/>
      <c r="L106" s="54" t="n"/>
      <c r="M106" s="54" t="n"/>
      <c r="N106" s="54" t="n"/>
      <c r="O106" s="54" t="n"/>
      <c r="P106" s="54" t="n"/>
      <c r="Q106" s="54" t="n"/>
    </row>
    <row r="107">
      <c r="A107" s="54" t="n"/>
      <c r="B107" s="54" t="n"/>
      <c r="C107" s="54" t="n"/>
      <c r="D107" s="54" t="n"/>
      <c r="E107" s="54" t="n"/>
      <c r="F107" s="54" t="n"/>
      <c r="G107" s="54" t="n"/>
      <c r="H107" s="54" t="n"/>
      <c r="I107" s="54" t="n"/>
      <c r="J107" s="54" t="n"/>
      <c r="K107" s="54" t="n"/>
      <c r="L107" s="54" t="n"/>
      <c r="M107" s="54" t="n"/>
      <c r="N107" s="54" t="n"/>
      <c r="O107" s="54" t="n"/>
      <c r="P107" s="54" t="n"/>
      <c r="Q107" s="54" t="n"/>
    </row>
    <row r="108">
      <c r="A108" s="54" t="n"/>
      <c r="B108" s="54" t="n"/>
      <c r="C108" s="54" t="n"/>
      <c r="D108" s="54" t="n"/>
      <c r="E108" s="54" t="n"/>
      <c r="F108" s="54" t="n"/>
      <c r="G108" s="54" t="n"/>
      <c r="H108" s="54" t="n"/>
      <c r="I108" s="54" t="n"/>
      <c r="J108" s="54" t="n"/>
      <c r="K108" s="54" t="n"/>
      <c r="L108" s="54" t="n"/>
      <c r="M108" s="54" t="n"/>
      <c r="N108" s="54" t="n"/>
      <c r="O108" s="54" t="n"/>
      <c r="P108" s="54" t="n"/>
      <c r="Q108" s="54" t="n"/>
    </row>
    <row r="109">
      <c r="A109" s="54" t="n"/>
      <c r="B109" s="54" t="n"/>
      <c r="C109" s="54" t="n"/>
      <c r="D109" s="54" t="n"/>
      <c r="E109" s="54" t="n"/>
      <c r="F109" s="54" t="n"/>
      <c r="G109" s="54" t="n"/>
      <c r="H109" s="54" t="n"/>
      <c r="I109" s="54" t="n"/>
      <c r="J109" s="54" t="n"/>
      <c r="K109" s="54" t="n"/>
      <c r="L109" s="54" t="n"/>
      <c r="M109" s="54" t="n"/>
      <c r="N109" s="54" t="n"/>
      <c r="O109" s="54" t="n"/>
      <c r="P109" s="54" t="n"/>
      <c r="Q109" s="54" t="n"/>
    </row>
    <row r="110">
      <c r="A110" s="54" t="n"/>
      <c r="B110" s="54" t="n"/>
      <c r="C110" s="54" t="n"/>
      <c r="D110" s="54" t="n"/>
      <c r="E110" s="54" t="n"/>
      <c r="F110" s="54" t="n"/>
      <c r="G110" s="54" t="n"/>
      <c r="H110" s="54" t="n"/>
      <c r="I110" s="54" t="n"/>
      <c r="J110" s="54" t="n"/>
      <c r="K110" s="54" t="n"/>
      <c r="L110" s="54" t="n"/>
      <c r="M110" s="54" t="n"/>
      <c r="N110" s="54" t="n"/>
      <c r="O110" s="54" t="n"/>
      <c r="P110" s="54" t="n"/>
      <c r="Q110" s="54" t="n"/>
    </row>
    <row r="111">
      <c r="A111" s="54" t="n"/>
      <c r="B111" s="54" t="n"/>
      <c r="C111" s="54" t="n"/>
      <c r="D111" s="54" t="n"/>
      <c r="E111" s="54" t="n"/>
      <c r="F111" s="54" t="n"/>
      <c r="G111" s="54" t="n"/>
      <c r="H111" s="54" t="n"/>
      <c r="I111" s="54" t="n"/>
      <c r="J111" s="54" t="n"/>
      <c r="K111" s="54" t="n"/>
      <c r="L111" s="54" t="n"/>
      <c r="M111" s="54" t="n"/>
      <c r="N111" s="54" t="n"/>
      <c r="O111" s="54" t="n"/>
      <c r="P111" s="54" t="n"/>
      <c r="Q111" s="54" t="n"/>
    </row>
    <row r="112">
      <c r="A112" s="54" t="n"/>
      <c r="B112" s="54" t="n"/>
      <c r="C112" s="54" t="n"/>
      <c r="D112" s="54" t="n"/>
      <c r="E112" s="54" t="n"/>
      <c r="F112" s="54" t="n"/>
      <c r="G112" s="54" t="n"/>
      <c r="H112" s="54" t="n"/>
      <c r="I112" s="54" t="n"/>
      <c r="J112" s="54" t="n"/>
      <c r="K112" s="54" t="n"/>
      <c r="L112" s="54" t="n"/>
      <c r="M112" s="54" t="n"/>
      <c r="N112" s="54" t="n"/>
      <c r="O112" s="54" t="n"/>
      <c r="P112" s="54" t="n"/>
      <c r="Q112" s="54" t="n"/>
    </row>
    <row r="113">
      <c r="A113" s="54" t="n"/>
      <c r="B113" s="54" t="n"/>
      <c r="C113" s="54" t="n"/>
      <c r="D113" s="54" t="n"/>
      <c r="E113" s="54" t="n"/>
      <c r="F113" s="54" t="n"/>
      <c r="G113" s="54" t="n"/>
      <c r="H113" s="54" t="n"/>
      <c r="I113" s="54" t="n"/>
      <c r="J113" s="54" t="n"/>
      <c r="K113" s="54" t="n"/>
      <c r="L113" s="54" t="n"/>
      <c r="M113" s="54" t="n"/>
      <c r="N113" s="54" t="n"/>
      <c r="O113" s="54" t="n"/>
      <c r="P113" s="54" t="n"/>
      <c r="Q113" s="54" t="n"/>
    </row>
    <row r="114">
      <c r="A114" s="54" t="n"/>
      <c r="B114" s="54" t="n"/>
      <c r="C114" s="54" t="n"/>
      <c r="D114" s="54" t="n"/>
      <c r="E114" s="54" t="n"/>
      <c r="F114" s="54" t="n"/>
      <c r="G114" s="54" t="n"/>
      <c r="H114" s="54" t="n"/>
      <c r="I114" s="54" t="n"/>
      <c r="J114" s="54" t="n"/>
      <c r="K114" s="54" t="n"/>
      <c r="L114" s="54" t="n"/>
      <c r="M114" s="54" t="n"/>
      <c r="N114" s="54" t="n"/>
      <c r="O114" s="54" t="n"/>
      <c r="P114" s="54" t="n"/>
      <c r="Q114" s="54" t="n"/>
    </row>
    <row r="115">
      <c r="A115" s="54" t="n"/>
      <c r="B115" s="54" t="n"/>
      <c r="C115" s="54" t="n"/>
      <c r="D115" s="54" t="n"/>
      <c r="E115" s="54" t="n"/>
      <c r="F115" s="54" t="n"/>
      <c r="G115" s="54" t="n"/>
      <c r="H115" s="54" t="n"/>
      <c r="I115" s="54" t="n"/>
      <c r="J115" s="54" t="n"/>
      <c r="K115" s="54" t="n"/>
      <c r="L115" s="54" t="n"/>
      <c r="M115" s="54" t="n"/>
      <c r="N115" s="54" t="n"/>
      <c r="O115" s="54" t="n"/>
      <c r="P115" s="54" t="n"/>
      <c r="Q115" s="54" t="n"/>
    </row>
    <row r="116">
      <c r="A116" s="54" t="n"/>
      <c r="B116" s="54" t="n"/>
      <c r="C116" s="54" t="n"/>
      <c r="D116" s="54" t="n"/>
      <c r="E116" s="54" t="n"/>
      <c r="F116" s="54" t="n"/>
      <c r="G116" s="54" t="n"/>
      <c r="H116" s="54" t="n"/>
      <c r="I116" s="54" t="n"/>
      <c r="J116" s="54" t="n"/>
      <c r="K116" s="54" t="n"/>
      <c r="L116" s="54" t="n"/>
      <c r="M116" s="54" t="n"/>
      <c r="N116" s="54" t="n"/>
      <c r="O116" s="54" t="n"/>
      <c r="P116" s="54" t="n"/>
      <c r="Q116" s="54" t="n"/>
    </row>
    <row r="117">
      <c r="A117" s="54" t="n"/>
      <c r="B117" s="54" t="n"/>
      <c r="C117" s="54" t="n"/>
      <c r="D117" s="54" t="n"/>
      <c r="E117" s="54" t="n"/>
      <c r="F117" s="54" t="n"/>
      <c r="G117" s="54" t="n"/>
      <c r="H117" s="54" t="n"/>
      <c r="I117" s="54" t="n"/>
      <c r="J117" s="54" t="n"/>
      <c r="K117" s="54" t="n"/>
      <c r="L117" s="54" t="n"/>
      <c r="M117" s="54" t="n"/>
      <c r="N117" s="54" t="n"/>
      <c r="O117" s="54" t="n"/>
      <c r="P117" s="54" t="n"/>
      <c r="Q117" s="54" t="n"/>
    </row>
    <row r="118">
      <c r="A118" s="54" t="n"/>
      <c r="B118" s="54" t="n"/>
      <c r="C118" s="54" t="n"/>
      <c r="D118" s="54" t="n"/>
      <c r="E118" s="54" t="n"/>
      <c r="F118" s="54" t="n"/>
      <c r="G118" s="54" t="n"/>
      <c r="H118" s="54" t="n"/>
      <c r="I118" s="54" t="n"/>
      <c r="J118" s="54" t="n"/>
      <c r="K118" s="54" t="n"/>
      <c r="L118" s="54" t="n"/>
      <c r="M118" s="54" t="n"/>
      <c r="N118" s="54" t="n"/>
      <c r="O118" s="54" t="n"/>
      <c r="P118" s="54" t="n"/>
      <c r="Q118" s="54" t="n"/>
    </row>
    <row r="119">
      <c r="A119" s="54" t="n"/>
      <c r="B119" s="54" t="n"/>
      <c r="C119" s="54" t="n"/>
      <c r="D119" s="54" t="n"/>
      <c r="E119" s="54" t="n"/>
      <c r="F119" s="54" t="n"/>
      <c r="G119" s="54" t="n"/>
      <c r="H119" s="54" t="n"/>
      <c r="I119" s="54" t="n"/>
      <c r="J119" s="54" t="n"/>
      <c r="K119" s="54" t="n"/>
      <c r="L119" s="54" t="n"/>
      <c r="M119" s="54" t="n"/>
      <c r="N119" s="54" t="n"/>
      <c r="O119" s="54" t="n"/>
      <c r="P119" s="54" t="n"/>
      <c r="Q119" s="54" t="n"/>
    </row>
    <row r="120">
      <c r="A120" s="54" t="n"/>
      <c r="B120" s="54" t="n"/>
      <c r="C120" s="54" t="n"/>
      <c r="D120" s="54" t="n"/>
      <c r="E120" s="54" t="n"/>
      <c r="F120" s="54" t="n"/>
      <c r="G120" s="54" t="n"/>
      <c r="H120" s="54" t="n"/>
      <c r="I120" s="54" t="n"/>
      <c r="J120" s="54" t="n"/>
      <c r="K120" s="54" t="n"/>
      <c r="L120" s="54" t="n"/>
      <c r="M120" s="54" t="n"/>
      <c r="N120" s="54" t="n"/>
      <c r="O120" s="54" t="n"/>
      <c r="P120" s="54" t="n"/>
      <c r="Q120" s="54" t="n"/>
    </row>
    <row r="121">
      <c r="A121" t="inlineStr">
        <is>
          <t>source_platform</t>
        </is>
      </c>
      <c r="B121" t="inlineStr">
        <is>
          <t>Instagram</t>
        </is>
      </c>
      <c r="C121" t="inlineStr">
        <is>
          <t>公开 hashtag/search</t>
        </is>
      </c>
      <c r="D121" t="inlineStr">
        <is>
          <t>v1 只记录公开 hashtag/search 入口，不采集登录态、私密账号或个人资料。</t>
        </is>
      </c>
    </row>
    <row r="122">
      <c r="A122" t="inlineStr">
        <is>
          <t>source_platform</t>
        </is>
      </c>
      <c r="B122" t="inlineStr">
        <is>
          <t>X / Twitter</t>
        </is>
      </c>
      <c r="C122" t="inlineStr">
        <is>
          <t>公开 search/top results</t>
        </is>
      </c>
      <c r="D122" t="inlineStr">
        <is>
          <t>v1 只记录公开搜索入口；如需稳定抓取，需要官方 API 或合规第三方工具。</t>
        </is>
      </c>
    </row>
    <row r="123">
      <c r="A123" t="inlineStr">
        <is>
          <t>source_platform</t>
        </is>
      </c>
      <c r="B123" t="inlineStr">
        <is>
          <t>Quora</t>
        </is>
      </c>
      <c r="C123" t="inlineStr">
        <is>
          <t>公开 question/search</t>
        </is>
      </c>
      <c r="D123" t="inlineStr">
        <is>
          <t>适合捕捉长尾问题、痛点和关系议题。</t>
        </is>
      </c>
    </row>
    <row r="124">
      <c r="A124" t="inlineStr">
        <is>
          <t>source_platform</t>
        </is>
      </c>
      <c r="B124" t="inlineStr">
        <is>
          <t>Medium</t>
        </is>
      </c>
      <c r="C124" t="inlineStr">
        <is>
          <t>公开 search/tag</t>
        </is>
      </c>
      <c r="D124" t="inlineStr">
        <is>
          <t>适合捕捉新兴社会情绪、观点类题材和非强剧情方向。</t>
        </is>
      </c>
    </row>
    <row r="125">
      <c r="A125" t="inlineStr">
        <is>
          <t>output_section</t>
        </is>
      </c>
      <c r="B125" t="inlineStr">
        <is>
          <t>潜力题材</t>
        </is>
      </c>
      <c r="C125" t="inlineStr">
        <is>
          <t>未映射但值得观察</t>
        </is>
      </c>
      <c r="D125" t="inlineStr">
        <is>
          <t>来自扩展来源、暂不归入现有短剧题材簇的方向；优先做热度核验和题材转译。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2026-06-09T03:23:40Z</dcterms:created>
  <dcterms:modified xmlns:dcterms="http://purl.org/dc/terms/" xmlns:xsi="http://www.w3.org/2001/XMLSchema-instance" xsi:type="dcterms:W3CDTF">2026-06-09T03:24:58Z</dcterms:modified>
</cp:coreProperties>
</file>